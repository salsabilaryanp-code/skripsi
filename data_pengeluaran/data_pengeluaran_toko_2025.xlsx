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ff84c27e489df18/Documents/materi ^0 tugas kuliah/SKRIPSI/DATA SOURCE/data pengeluaran/"/>
    </mc:Choice>
  </mc:AlternateContent>
  <xr:revisionPtr revIDLastSave="2" documentId="11_8209E3A3C3666FD68875DB9BFA3D0677394ECD54" xr6:coauthVersionLast="47" xr6:coauthVersionMax="47" xr10:uidLastSave="{5A9D3AB3-8B7A-4D52-83CF-B4BFB7B4CC13}"/>
  <bookViews>
    <workbookView xWindow="-110" yWindow="-110" windowWidth="19420" windowHeight="10300" firstSheet="3" activeTab="3" xr2:uid="{00000000-000D-0000-FFFF-FFFF00000000}"/>
  </bookViews>
  <sheets>
    <sheet name="JAN 2025 " sheetId="1" r:id="rId1"/>
    <sheet name="FEB 2025" sheetId="2" r:id="rId2"/>
    <sheet name="MAR 2025" sheetId="3" r:id="rId3"/>
    <sheet name="APRIL 25" sheetId="4" r:id="rId4"/>
    <sheet name="MEI 25" sheetId="5" r:id="rId5"/>
    <sheet name="JUNE  25" sheetId="6" r:id="rId6"/>
    <sheet name="JULY  25" sheetId="7" r:id="rId7"/>
    <sheet name="AUGUST  25" sheetId="8" r:id="rId8"/>
    <sheet name="SEPTEMBER  25" sheetId="9" r:id="rId9"/>
    <sheet name="Oktober 25" sheetId="10" r:id="rId10"/>
    <sheet name="November 25" sheetId="11" r:id="rId11"/>
    <sheet name="Desember 25" sheetId="12" r:id="rId12"/>
  </sheets>
  <externalReferences>
    <externalReference r:id="rId13"/>
  </externalReferences>
  <definedNames>
    <definedName name="_xlnm._FilterDatabase" localSheetId="3" hidden="1">'APRIL 25'!$A$19:$J$194</definedName>
    <definedName name="_xlnm._FilterDatabase" localSheetId="7" hidden="1">'AUGUST  25'!$A$19:$J$194</definedName>
    <definedName name="_xlnm._FilterDatabase" localSheetId="11" hidden="1">'Desember 25'!$A$19:$J$194</definedName>
    <definedName name="_xlnm._FilterDatabase" localSheetId="1" hidden="1">'FEB 2025'!$A$19:$J$195</definedName>
    <definedName name="_xlnm._FilterDatabase" localSheetId="0" hidden="1">'JAN 2025 '!$A$19:$J$200</definedName>
    <definedName name="_xlnm._FilterDatabase" localSheetId="6" hidden="1">'JULY  25'!$A$19:$J$194</definedName>
    <definedName name="_xlnm._FilterDatabase" localSheetId="5" hidden="1">'JUNE  25'!$A$19:$J$194</definedName>
    <definedName name="_xlnm._FilterDatabase" localSheetId="2" hidden="1">'MAR 2025'!$A$19:$J$194</definedName>
    <definedName name="_xlnm._FilterDatabase" localSheetId="4" hidden="1">'MEI 25'!$A$19:$J$194</definedName>
    <definedName name="_xlnm._FilterDatabase" localSheetId="10" hidden="1">'November 25'!$A$19:$J$194</definedName>
    <definedName name="_xlnm._FilterDatabase" localSheetId="9" hidden="1">'Oktober 25'!$A$19:$J$194</definedName>
    <definedName name="_xlnm._FilterDatabase" localSheetId="8" hidden="1">'SEPTEMBER  25'!$A$19:$J$194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4" i="12" l="1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W21" i="12"/>
  <c r="V21" i="12"/>
  <c r="U21" i="12"/>
  <c r="T21" i="12"/>
  <c r="S21" i="12"/>
  <c r="R21" i="12"/>
  <c r="Q21" i="12"/>
  <c r="P21" i="12"/>
  <c r="O21" i="12"/>
  <c r="N21" i="12"/>
  <c r="I21" i="12"/>
  <c r="W20" i="12"/>
  <c r="V20" i="12"/>
  <c r="U20" i="12"/>
  <c r="T20" i="12"/>
  <c r="S20" i="12"/>
  <c r="R20" i="12"/>
  <c r="Q20" i="12"/>
  <c r="P20" i="12"/>
  <c r="O20" i="12"/>
  <c r="N20" i="12"/>
  <c r="I20" i="12"/>
  <c r="X19" i="12"/>
  <c r="K19" i="12"/>
  <c r="S2" i="12" s="1"/>
  <c r="S1" i="12"/>
  <c r="S3" i="12" s="1"/>
  <c r="I194" i="11"/>
  <c r="I193" i="11"/>
  <c r="I192" i="11"/>
  <c r="I191" i="11"/>
  <c r="I190" i="11"/>
  <c r="I189" i="11"/>
  <c r="I188" i="11"/>
  <c r="I187" i="11"/>
  <c r="I186" i="11"/>
  <c r="I185" i="11"/>
  <c r="I184" i="11"/>
  <c r="I183" i="1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89" i="11"/>
  <c r="I88" i="11"/>
  <c r="I87" i="11"/>
  <c r="I86" i="11"/>
  <c r="I85" i="11"/>
  <c r="I84" i="11"/>
  <c r="I83" i="11"/>
  <c r="I82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7" i="11"/>
  <c r="I26" i="11"/>
  <c r="I25" i="11"/>
  <c r="I24" i="11"/>
  <c r="I23" i="11"/>
  <c r="W22" i="11"/>
  <c r="V22" i="11"/>
  <c r="U22" i="11"/>
  <c r="T22" i="11"/>
  <c r="S22" i="11"/>
  <c r="R22" i="11"/>
  <c r="Q22" i="11"/>
  <c r="P22" i="11"/>
  <c r="O22" i="11"/>
  <c r="N22" i="11"/>
  <c r="I22" i="11"/>
  <c r="W21" i="11"/>
  <c r="V21" i="11"/>
  <c r="X19" i="11" s="1"/>
  <c r="U21" i="11"/>
  <c r="T21" i="11"/>
  <c r="S21" i="11"/>
  <c r="R21" i="11"/>
  <c r="Q21" i="11"/>
  <c r="P21" i="11"/>
  <c r="O21" i="11"/>
  <c r="N21" i="11"/>
  <c r="I21" i="11"/>
  <c r="K19" i="11" s="1"/>
  <c r="S2" i="11" s="1"/>
  <c r="W20" i="11"/>
  <c r="V20" i="11"/>
  <c r="U20" i="11"/>
  <c r="T20" i="11"/>
  <c r="S20" i="11"/>
  <c r="R20" i="11"/>
  <c r="Q20" i="11"/>
  <c r="P20" i="11"/>
  <c r="O20" i="11"/>
  <c r="N20" i="11"/>
  <c r="I20" i="11"/>
  <c r="S1" i="11"/>
  <c r="S3" i="11" s="1"/>
  <c r="I194" i="10"/>
  <c r="I193" i="10"/>
  <c r="I192" i="10"/>
  <c r="I191" i="10"/>
  <c r="I190" i="10"/>
  <c r="I189" i="10"/>
  <c r="I188" i="10"/>
  <c r="I187" i="10"/>
  <c r="I186" i="10"/>
  <c r="I185" i="10"/>
  <c r="I184" i="10"/>
  <c r="I183" i="10"/>
  <c r="I182" i="10"/>
  <c r="I181" i="10"/>
  <c r="I180" i="10"/>
  <c r="I179" i="10"/>
  <c r="I178" i="10"/>
  <c r="I177" i="10"/>
  <c r="I176" i="10"/>
  <c r="I175" i="10"/>
  <c r="I174" i="10"/>
  <c r="I173" i="10"/>
  <c r="I172" i="10"/>
  <c r="I171" i="10"/>
  <c r="I170" i="10"/>
  <c r="I169" i="10"/>
  <c r="I168" i="10"/>
  <c r="I167" i="10"/>
  <c r="I166" i="10"/>
  <c r="I165" i="10"/>
  <c r="I164" i="10"/>
  <c r="I163" i="10"/>
  <c r="I162" i="10"/>
  <c r="I161" i="10"/>
  <c r="I160" i="10"/>
  <c r="I159" i="10"/>
  <c r="I158" i="10"/>
  <c r="I157" i="10"/>
  <c r="I156" i="10"/>
  <c r="I155" i="10"/>
  <c r="I154" i="10"/>
  <c r="I153" i="10"/>
  <c r="I152" i="10"/>
  <c r="I151" i="10"/>
  <c r="I150" i="10"/>
  <c r="I149" i="10"/>
  <c r="I148" i="10"/>
  <c r="I147" i="10"/>
  <c r="I146" i="10"/>
  <c r="I145" i="10"/>
  <c r="I144" i="10"/>
  <c r="I143" i="10"/>
  <c r="I142" i="10"/>
  <c r="I141" i="10"/>
  <c r="I140" i="10"/>
  <c r="I139" i="10"/>
  <c r="I138" i="10"/>
  <c r="I137" i="10"/>
  <c r="I136" i="10"/>
  <c r="I135" i="10"/>
  <c r="I134" i="10"/>
  <c r="I133" i="10"/>
  <c r="I132" i="10"/>
  <c r="I131" i="10"/>
  <c r="I130" i="10"/>
  <c r="I129" i="10"/>
  <c r="I128" i="10"/>
  <c r="I127" i="10"/>
  <c r="I126" i="10"/>
  <c r="I125" i="10"/>
  <c r="I124" i="10"/>
  <c r="I123" i="10"/>
  <c r="I122" i="10"/>
  <c r="I121" i="10"/>
  <c r="I120" i="10"/>
  <c r="I119" i="10"/>
  <c r="I118" i="10"/>
  <c r="I117" i="10"/>
  <c r="I116" i="10"/>
  <c r="I115" i="10"/>
  <c r="I114" i="10"/>
  <c r="I113" i="10"/>
  <c r="I112" i="10"/>
  <c r="I111" i="10"/>
  <c r="I110" i="10"/>
  <c r="I109" i="10"/>
  <c r="I108" i="10"/>
  <c r="I107" i="10"/>
  <c r="I106" i="10"/>
  <c r="I105" i="10"/>
  <c r="I104" i="10"/>
  <c r="I103" i="10"/>
  <c r="I102" i="10"/>
  <c r="I101" i="10"/>
  <c r="I100" i="10"/>
  <c r="I99" i="10"/>
  <c r="I98" i="10"/>
  <c r="I97" i="10"/>
  <c r="I96" i="10"/>
  <c r="I95" i="10"/>
  <c r="I94" i="10"/>
  <c r="I93" i="10"/>
  <c r="I92" i="10"/>
  <c r="I91" i="10"/>
  <c r="I90" i="10"/>
  <c r="I89" i="10"/>
  <c r="I88" i="10"/>
  <c r="I87" i="10"/>
  <c r="I86" i="10"/>
  <c r="I85" i="10"/>
  <c r="I84" i="10"/>
  <c r="I83" i="10"/>
  <c r="I82" i="10"/>
  <c r="I81" i="10"/>
  <c r="I80" i="10"/>
  <c r="I79" i="10"/>
  <c r="I78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W26" i="10"/>
  <c r="V26" i="10"/>
  <c r="U26" i="10"/>
  <c r="T26" i="10"/>
  <c r="S26" i="10"/>
  <c r="R26" i="10"/>
  <c r="Q26" i="10"/>
  <c r="P26" i="10"/>
  <c r="O26" i="10"/>
  <c r="N26" i="10"/>
  <c r="I26" i="10"/>
  <c r="W25" i="10"/>
  <c r="V25" i="10"/>
  <c r="U25" i="10"/>
  <c r="T25" i="10"/>
  <c r="S25" i="10"/>
  <c r="R25" i="10"/>
  <c r="Q25" i="10"/>
  <c r="P25" i="10"/>
  <c r="O25" i="10"/>
  <c r="N25" i="10"/>
  <c r="I25" i="10"/>
  <c r="W24" i="10"/>
  <c r="V24" i="10"/>
  <c r="U24" i="10"/>
  <c r="T24" i="10"/>
  <c r="S24" i="10"/>
  <c r="R24" i="10"/>
  <c r="Q24" i="10"/>
  <c r="P24" i="10"/>
  <c r="O24" i="10"/>
  <c r="N24" i="10"/>
  <c r="I24" i="10"/>
  <c r="W23" i="10"/>
  <c r="V23" i="10"/>
  <c r="U23" i="10"/>
  <c r="T23" i="10"/>
  <c r="S23" i="10"/>
  <c r="R23" i="10"/>
  <c r="Q23" i="10"/>
  <c r="P23" i="10"/>
  <c r="O23" i="10"/>
  <c r="N23" i="10"/>
  <c r="I23" i="10"/>
  <c r="K19" i="10" s="1"/>
  <c r="S2" i="10" s="1"/>
  <c r="W22" i="10"/>
  <c r="V22" i="10"/>
  <c r="U22" i="10"/>
  <c r="T22" i="10"/>
  <c r="S22" i="10"/>
  <c r="R22" i="10"/>
  <c r="Q22" i="10"/>
  <c r="P22" i="10"/>
  <c r="O22" i="10"/>
  <c r="N22" i="10"/>
  <c r="I22" i="10"/>
  <c r="W21" i="10"/>
  <c r="V21" i="10"/>
  <c r="U21" i="10"/>
  <c r="T21" i="10"/>
  <c r="S21" i="10"/>
  <c r="R21" i="10"/>
  <c r="Q21" i="10"/>
  <c r="P21" i="10"/>
  <c r="O21" i="10"/>
  <c r="N21" i="10"/>
  <c r="I21" i="10"/>
  <c r="W20" i="10"/>
  <c r="V20" i="10"/>
  <c r="X19" i="10" s="1"/>
  <c r="U20" i="10"/>
  <c r="T20" i="10"/>
  <c r="S20" i="10"/>
  <c r="R20" i="10"/>
  <c r="Q20" i="10"/>
  <c r="P20" i="10"/>
  <c r="O20" i="10"/>
  <c r="N20" i="10"/>
  <c r="I20" i="10"/>
  <c r="S1" i="10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W52" i="9"/>
  <c r="V52" i="9"/>
  <c r="U52" i="9"/>
  <c r="T52" i="9"/>
  <c r="S52" i="9"/>
  <c r="R52" i="9"/>
  <c r="Q52" i="9"/>
  <c r="P52" i="9"/>
  <c r="O52" i="9"/>
  <c r="N52" i="9"/>
  <c r="I52" i="9"/>
  <c r="W51" i="9"/>
  <c r="V51" i="9"/>
  <c r="U51" i="9"/>
  <c r="T51" i="9"/>
  <c r="S51" i="9"/>
  <c r="R51" i="9"/>
  <c r="Q51" i="9"/>
  <c r="P51" i="9"/>
  <c r="O51" i="9"/>
  <c r="N51" i="9"/>
  <c r="I51" i="9"/>
  <c r="W50" i="9"/>
  <c r="V50" i="9"/>
  <c r="U50" i="9"/>
  <c r="T50" i="9"/>
  <c r="S50" i="9"/>
  <c r="R50" i="9"/>
  <c r="Q50" i="9"/>
  <c r="P50" i="9"/>
  <c r="O50" i="9"/>
  <c r="N50" i="9"/>
  <c r="I50" i="9"/>
  <c r="W49" i="9"/>
  <c r="V49" i="9"/>
  <c r="U49" i="9"/>
  <c r="T49" i="9"/>
  <c r="S49" i="9"/>
  <c r="R49" i="9"/>
  <c r="Q49" i="9"/>
  <c r="P49" i="9"/>
  <c r="O49" i="9"/>
  <c r="N49" i="9"/>
  <c r="I49" i="9"/>
  <c r="W48" i="9"/>
  <c r="V48" i="9"/>
  <c r="U48" i="9"/>
  <c r="T48" i="9"/>
  <c r="S48" i="9"/>
  <c r="R48" i="9"/>
  <c r="Q48" i="9"/>
  <c r="P48" i="9"/>
  <c r="O48" i="9"/>
  <c r="N48" i="9"/>
  <c r="I48" i="9"/>
  <c r="W47" i="9"/>
  <c r="V47" i="9"/>
  <c r="U47" i="9"/>
  <c r="T47" i="9"/>
  <c r="S47" i="9"/>
  <c r="R47" i="9"/>
  <c r="Q47" i="9"/>
  <c r="P47" i="9"/>
  <c r="O47" i="9"/>
  <c r="N47" i="9"/>
  <c r="I47" i="9"/>
  <c r="W46" i="9"/>
  <c r="V46" i="9"/>
  <c r="U46" i="9"/>
  <c r="T46" i="9"/>
  <c r="S46" i="9"/>
  <c r="R46" i="9"/>
  <c r="Q46" i="9"/>
  <c r="P46" i="9"/>
  <c r="O46" i="9"/>
  <c r="N46" i="9"/>
  <c r="I46" i="9"/>
  <c r="W45" i="9"/>
  <c r="V45" i="9"/>
  <c r="U45" i="9"/>
  <c r="T45" i="9"/>
  <c r="S45" i="9"/>
  <c r="R45" i="9"/>
  <c r="Q45" i="9"/>
  <c r="P45" i="9"/>
  <c r="O45" i="9"/>
  <c r="N45" i="9"/>
  <c r="I45" i="9"/>
  <c r="W44" i="9"/>
  <c r="V44" i="9"/>
  <c r="U44" i="9"/>
  <c r="T44" i="9"/>
  <c r="S44" i="9"/>
  <c r="R44" i="9"/>
  <c r="Q44" i="9"/>
  <c r="P44" i="9"/>
  <c r="O44" i="9"/>
  <c r="N44" i="9"/>
  <c r="I44" i="9"/>
  <c r="W43" i="9"/>
  <c r="V43" i="9"/>
  <c r="U43" i="9"/>
  <c r="T43" i="9"/>
  <c r="S43" i="9"/>
  <c r="R43" i="9"/>
  <c r="Q43" i="9"/>
  <c r="P43" i="9"/>
  <c r="O43" i="9"/>
  <c r="N43" i="9"/>
  <c r="I43" i="9"/>
  <c r="W42" i="9"/>
  <c r="V42" i="9"/>
  <c r="U42" i="9"/>
  <c r="T42" i="9"/>
  <c r="S42" i="9"/>
  <c r="R42" i="9"/>
  <c r="Q42" i="9"/>
  <c r="P42" i="9"/>
  <c r="O42" i="9"/>
  <c r="N42" i="9"/>
  <c r="I42" i="9"/>
  <c r="W41" i="9"/>
  <c r="V41" i="9"/>
  <c r="U41" i="9"/>
  <c r="T41" i="9"/>
  <c r="S41" i="9"/>
  <c r="R41" i="9"/>
  <c r="Q41" i="9"/>
  <c r="P41" i="9"/>
  <c r="O41" i="9"/>
  <c r="N41" i="9"/>
  <c r="I41" i="9"/>
  <c r="W40" i="9"/>
  <c r="V40" i="9"/>
  <c r="U40" i="9"/>
  <c r="T40" i="9"/>
  <c r="S40" i="9"/>
  <c r="R40" i="9"/>
  <c r="Q40" i="9"/>
  <c r="P40" i="9"/>
  <c r="O40" i="9"/>
  <c r="N40" i="9"/>
  <c r="I40" i="9"/>
  <c r="W39" i="9"/>
  <c r="V39" i="9"/>
  <c r="U39" i="9"/>
  <c r="T39" i="9"/>
  <c r="S39" i="9"/>
  <c r="R39" i="9"/>
  <c r="Q39" i="9"/>
  <c r="P39" i="9"/>
  <c r="O39" i="9"/>
  <c r="N39" i="9"/>
  <c r="I39" i="9"/>
  <c r="W38" i="9"/>
  <c r="V38" i="9"/>
  <c r="U38" i="9"/>
  <c r="T38" i="9"/>
  <c r="S38" i="9"/>
  <c r="R38" i="9"/>
  <c r="Q38" i="9"/>
  <c r="P38" i="9"/>
  <c r="O38" i="9"/>
  <c r="N38" i="9"/>
  <c r="I38" i="9"/>
  <c r="W37" i="9"/>
  <c r="V37" i="9"/>
  <c r="U37" i="9"/>
  <c r="T37" i="9"/>
  <c r="S37" i="9"/>
  <c r="R37" i="9"/>
  <c r="Q37" i="9"/>
  <c r="P37" i="9"/>
  <c r="O37" i="9"/>
  <c r="N37" i="9"/>
  <c r="I37" i="9"/>
  <c r="W36" i="9"/>
  <c r="V36" i="9"/>
  <c r="U36" i="9"/>
  <c r="T36" i="9"/>
  <c r="S36" i="9"/>
  <c r="R36" i="9"/>
  <c r="Q36" i="9"/>
  <c r="P36" i="9"/>
  <c r="O36" i="9"/>
  <c r="N36" i="9"/>
  <c r="I36" i="9"/>
  <c r="W35" i="9"/>
  <c r="V35" i="9"/>
  <c r="U35" i="9"/>
  <c r="T35" i="9"/>
  <c r="S35" i="9"/>
  <c r="R35" i="9"/>
  <c r="Q35" i="9"/>
  <c r="P35" i="9"/>
  <c r="O35" i="9"/>
  <c r="N35" i="9"/>
  <c r="I35" i="9"/>
  <c r="W34" i="9"/>
  <c r="V34" i="9"/>
  <c r="U34" i="9"/>
  <c r="T34" i="9"/>
  <c r="S34" i="9"/>
  <c r="R34" i="9"/>
  <c r="Q34" i="9"/>
  <c r="P34" i="9"/>
  <c r="O34" i="9"/>
  <c r="N34" i="9"/>
  <c r="I34" i="9"/>
  <c r="W33" i="9"/>
  <c r="V33" i="9"/>
  <c r="U33" i="9"/>
  <c r="T33" i="9"/>
  <c r="S33" i="9"/>
  <c r="R33" i="9"/>
  <c r="Q33" i="9"/>
  <c r="P33" i="9"/>
  <c r="O33" i="9"/>
  <c r="N33" i="9"/>
  <c r="I33" i="9"/>
  <c r="W32" i="9"/>
  <c r="V32" i="9"/>
  <c r="U32" i="9"/>
  <c r="T32" i="9"/>
  <c r="S32" i="9"/>
  <c r="R32" i="9"/>
  <c r="Q32" i="9"/>
  <c r="P32" i="9"/>
  <c r="O32" i="9"/>
  <c r="N32" i="9"/>
  <c r="I32" i="9"/>
  <c r="W31" i="9"/>
  <c r="V31" i="9"/>
  <c r="U31" i="9"/>
  <c r="T31" i="9"/>
  <c r="S31" i="9"/>
  <c r="R31" i="9"/>
  <c r="Q31" i="9"/>
  <c r="P31" i="9"/>
  <c r="O31" i="9"/>
  <c r="N31" i="9"/>
  <c r="I31" i="9"/>
  <c r="W30" i="9"/>
  <c r="V30" i="9"/>
  <c r="U30" i="9"/>
  <c r="T30" i="9"/>
  <c r="S30" i="9"/>
  <c r="R30" i="9"/>
  <c r="Q30" i="9"/>
  <c r="P30" i="9"/>
  <c r="O30" i="9"/>
  <c r="N30" i="9"/>
  <c r="I30" i="9"/>
  <c r="W29" i="9"/>
  <c r="V29" i="9"/>
  <c r="U29" i="9"/>
  <c r="T29" i="9"/>
  <c r="S29" i="9"/>
  <c r="R29" i="9"/>
  <c r="Q29" i="9"/>
  <c r="P29" i="9"/>
  <c r="O29" i="9"/>
  <c r="N29" i="9"/>
  <c r="I29" i="9"/>
  <c r="W28" i="9"/>
  <c r="V28" i="9"/>
  <c r="U28" i="9"/>
  <c r="T28" i="9"/>
  <c r="S28" i="9"/>
  <c r="R28" i="9"/>
  <c r="Q28" i="9"/>
  <c r="P28" i="9"/>
  <c r="O28" i="9"/>
  <c r="N28" i="9"/>
  <c r="I28" i="9"/>
  <c r="W27" i="9"/>
  <c r="V27" i="9"/>
  <c r="U27" i="9"/>
  <c r="T27" i="9"/>
  <c r="S27" i="9"/>
  <c r="R27" i="9"/>
  <c r="Q27" i="9"/>
  <c r="P27" i="9"/>
  <c r="O27" i="9"/>
  <c r="N27" i="9"/>
  <c r="I27" i="9"/>
  <c r="W26" i="9"/>
  <c r="V26" i="9"/>
  <c r="U26" i="9"/>
  <c r="T26" i="9"/>
  <c r="S26" i="9"/>
  <c r="R26" i="9"/>
  <c r="Q26" i="9"/>
  <c r="P26" i="9"/>
  <c r="O26" i="9"/>
  <c r="N26" i="9"/>
  <c r="I26" i="9"/>
  <c r="W25" i="9"/>
  <c r="V25" i="9"/>
  <c r="U25" i="9"/>
  <c r="T25" i="9"/>
  <c r="S25" i="9"/>
  <c r="R25" i="9"/>
  <c r="Q25" i="9"/>
  <c r="P25" i="9"/>
  <c r="O25" i="9"/>
  <c r="N25" i="9"/>
  <c r="I25" i="9"/>
  <c r="W24" i="9"/>
  <c r="V24" i="9"/>
  <c r="U24" i="9"/>
  <c r="T24" i="9"/>
  <c r="S24" i="9"/>
  <c r="R24" i="9"/>
  <c r="Q24" i="9"/>
  <c r="P24" i="9"/>
  <c r="O24" i="9"/>
  <c r="N24" i="9"/>
  <c r="I24" i="9"/>
  <c r="W23" i="9"/>
  <c r="V23" i="9"/>
  <c r="U23" i="9"/>
  <c r="T23" i="9"/>
  <c r="S23" i="9"/>
  <c r="R23" i="9"/>
  <c r="Q23" i="9"/>
  <c r="P23" i="9"/>
  <c r="O23" i="9"/>
  <c r="N23" i="9"/>
  <c r="I23" i="9"/>
  <c r="W22" i="9"/>
  <c r="V22" i="9"/>
  <c r="U22" i="9"/>
  <c r="T22" i="9"/>
  <c r="S22" i="9"/>
  <c r="R22" i="9"/>
  <c r="Q22" i="9"/>
  <c r="P22" i="9"/>
  <c r="O22" i="9"/>
  <c r="N22" i="9"/>
  <c r="I22" i="9"/>
  <c r="W21" i="9"/>
  <c r="V21" i="9"/>
  <c r="U21" i="9"/>
  <c r="T21" i="9"/>
  <c r="S21" i="9"/>
  <c r="R21" i="9"/>
  <c r="Q21" i="9"/>
  <c r="P21" i="9"/>
  <c r="O21" i="9"/>
  <c r="N21" i="9"/>
  <c r="I21" i="9"/>
  <c r="K19" i="9" s="1"/>
  <c r="S2" i="9" s="1"/>
  <c r="W20" i="9"/>
  <c r="V20" i="9"/>
  <c r="U20" i="9"/>
  <c r="T20" i="9"/>
  <c r="S20" i="9"/>
  <c r="R20" i="9"/>
  <c r="Q20" i="9"/>
  <c r="P20" i="9"/>
  <c r="O20" i="9"/>
  <c r="N20" i="9"/>
  <c r="I20" i="9"/>
  <c r="X19" i="9"/>
  <c r="S1" i="9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W58" i="8"/>
  <c r="V58" i="8"/>
  <c r="U58" i="8"/>
  <c r="T58" i="8"/>
  <c r="S58" i="8"/>
  <c r="R58" i="8"/>
  <c r="Q58" i="8"/>
  <c r="P58" i="8"/>
  <c r="O58" i="8"/>
  <c r="N58" i="8"/>
  <c r="I58" i="8"/>
  <c r="W57" i="8"/>
  <c r="V57" i="8"/>
  <c r="U57" i="8"/>
  <c r="T57" i="8"/>
  <c r="S57" i="8"/>
  <c r="R57" i="8"/>
  <c r="Q57" i="8"/>
  <c r="P57" i="8"/>
  <c r="O57" i="8"/>
  <c r="N57" i="8"/>
  <c r="I57" i="8"/>
  <c r="W56" i="8"/>
  <c r="V56" i="8"/>
  <c r="U56" i="8"/>
  <c r="T56" i="8"/>
  <c r="S56" i="8"/>
  <c r="R56" i="8"/>
  <c r="Q56" i="8"/>
  <c r="P56" i="8"/>
  <c r="O56" i="8"/>
  <c r="N56" i="8"/>
  <c r="I56" i="8"/>
  <c r="W55" i="8"/>
  <c r="V55" i="8"/>
  <c r="U55" i="8"/>
  <c r="T55" i="8"/>
  <c r="S55" i="8"/>
  <c r="R55" i="8"/>
  <c r="Q55" i="8"/>
  <c r="P55" i="8"/>
  <c r="O55" i="8"/>
  <c r="N55" i="8"/>
  <c r="I55" i="8"/>
  <c r="W54" i="8"/>
  <c r="V54" i="8"/>
  <c r="U54" i="8"/>
  <c r="T54" i="8"/>
  <c r="S54" i="8"/>
  <c r="R54" i="8"/>
  <c r="Q54" i="8"/>
  <c r="P54" i="8"/>
  <c r="O54" i="8"/>
  <c r="N54" i="8"/>
  <c r="I54" i="8"/>
  <c r="W53" i="8"/>
  <c r="V53" i="8"/>
  <c r="U53" i="8"/>
  <c r="T53" i="8"/>
  <c r="S53" i="8"/>
  <c r="R53" i="8"/>
  <c r="Q53" i="8"/>
  <c r="P53" i="8"/>
  <c r="O53" i="8"/>
  <c r="N53" i="8"/>
  <c r="I53" i="8"/>
  <c r="W52" i="8"/>
  <c r="V52" i="8"/>
  <c r="U52" i="8"/>
  <c r="T52" i="8"/>
  <c r="S52" i="8"/>
  <c r="R52" i="8"/>
  <c r="Q52" i="8"/>
  <c r="P52" i="8"/>
  <c r="O52" i="8"/>
  <c r="N52" i="8"/>
  <c r="I52" i="8"/>
  <c r="W51" i="8"/>
  <c r="V51" i="8"/>
  <c r="U51" i="8"/>
  <c r="T51" i="8"/>
  <c r="S51" i="8"/>
  <c r="R51" i="8"/>
  <c r="Q51" i="8"/>
  <c r="P51" i="8"/>
  <c r="O51" i="8"/>
  <c r="N51" i="8"/>
  <c r="I51" i="8"/>
  <c r="W50" i="8"/>
  <c r="V50" i="8"/>
  <c r="U50" i="8"/>
  <c r="T50" i="8"/>
  <c r="S50" i="8"/>
  <c r="R50" i="8"/>
  <c r="Q50" i="8"/>
  <c r="P50" i="8"/>
  <c r="O50" i="8"/>
  <c r="N50" i="8"/>
  <c r="I50" i="8"/>
  <c r="W49" i="8"/>
  <c r="V49" i="8"/>
  <c r="U49" i="8"/>
  <c r="T49" i="8"/>
  <c r="S49" i="8"/>
  <c r="R49" i="8"/>
  <c r="Q49" i="8"/>
  <c r="P49" i="8"/>
  <c r="O49" i="8"/>
  <c r="N49" i="8"/>
  <c r="I49" i="8"/>
  <c r="W48" i="8"/>
  <c r="V48" i="8"/>
  <c r="U48" i="8"/>
  <c r="T48" i="8"/>
  <c r="S48" i="8"/>
  <c r="R48" i="8"/>
  <c r="Q48" i="8"/>
  <c r="P48" i="8"/>
  <c r="O48" i="8"/>
  <c r="N48" i="8"/>
  <c r="I48" i="8"/>
  <c r="W47" i="8"/>
  <c r="V47" i="8"/>
  <c r="U47" i="8"/>
  <c r="T47" i="8"/>
  <c r="S47" i="8"/>
  <c r="R47" i="8"/>
  <c r="Q47" i="8"/>
  <c r="P47" i="8"/>
  <c r="O47" i="8"/>
  <c r="N47" i="8"/>
  <c r="I47" i="8"/>
  <c r="W46" i="8"/>
  <c r="V46" i="8"/>
  <c r="U46" i="8"/>
  <c r="T46" i="8"/>
  <c r="S46" i="8"/>
  <c r="R46" i="8"/>
  <c r="Q46" i="8"/>
  <c r="P46" i="8"/>
  <c r="O46" i="8"/>
  <c r="N46" i="8"/>
  <c r="I46" i="8"/>
  <c r="W45" i="8"/>
  <c r="V45" i="8"/>
  <c r="U45" i="8"/>
  <c r="T45" i="8"/>
  <c r="S45" i="8"/>
  <c r="R45" i="8"/>
  <c r="Q45" i="8"/>
  <c r="P45" i="8"/>
  <c r="O45" i="8"/>
  <c r="N45" i="8"/>
  <c r="I45" i="8"/>
  <c r="W44" i="8"/>
  <c r="V44" i="8"/>
  <c r="U44" i="8"/>
  <c r="T44" i="8"/>
  <c r="S44" i="8"/>
  <c r="R44" i="8"/>
  <c r="Q44" i="8"/>
  <c r="P44" i="8"/>
  <c r="O44" i="8"/>
  <c r="N44" i="8"/>
  <c r="I44" i="8"/>
  <c r="W43" i="8"/>
  <c r="V43" i="8"/>
  <c r="U43" i="8"/>
  <c r="T43" i="8"/>
  <c r="S43" i="8"/>
  <c r="R43" i="8"/>
  <c r="Q43" i="8"/>
  <c r="P43" i="8"/>
  <c r="O43" i="8"/>
  <c r="N43" i="8"/>
  <c r="I43" i="8"/>
  <c r="W42" i="8"/>
  <c r="V42" i="8"/>
  <c r="U42" i="8"/>
  <c r="T42" i="8"/>
  <c r="S42" i="8"/>
  <c r="R42" i="8"/>
  <c r="Q42" i="8"/>
  <c r="P42" i="8"/>
  <c r="O42" i="8"/>
  <c r="N42" i="8"/>
  <c r="I42" i="8"/>
  <c r="W41" i="8"/>
  <c r="V41" i="8"/>
  <c r="U41" i="8"/>
  <c r="T41" i="8"/>
  <c r="S41" i="8"/>
  <c r="R41" i="8"/>
  <c r="Q41" i="8"/>
  <c r="P41" i="8"/>
  <c r="O41" i="8"/>
  <c r="N41" i="8"/>
  <c r="I41" i="8"/>
  <c r="W40" i="8"/>
  <c r="V40" i="8"/>
  <c r="U40" i="8"/>
  <c r="T40" i="8"/>
  <c r="S40" i="8"/>
  <c r="R40" i="8"/>
  <c r="Q40" i="8"/>
  <c r="P40" i="8"/>
  <c r="O40" i="8"/>
  <c r="N40" i="8"/>
  <c r="I40" i="8"/>
  <c r="W39" i="8"/>
  <c r="V39" i="8"/>
  <c r="U39" i="8"/>
  <c r="T39" i="8"/>
  <c r="S39" i="8"/>
  <c r="R39" i="8"/>
  <c r="Q39" i="8"/>
  <c r="P39" i="8"/>
  <c r="O39" i="8"/>
  <c r="N39" i="8"/>
  <c r="I39" i="8"/>
  <c r="W38" i="8"/>
  <c r="V38" i="8"/>
  <c r="U38" i="8"/>
  <c r="T38" i="8"/>
  <c r="S38" i="8"/>
  <c r="R38" i="8"/>
  <c r="Q38" i="8"/>
  <c r="P38" i="8"/>
  <c r="O38" i="8"/>
  <c r="N38" i="8"/>
  <c r="I38" i="8"/>
  <c r="W37" i="8"/>
  <c r="V37" i="8"/>
  <c r="U37" i="8"/>
  <c r="T37" i="8"/>
  <c r="S37" i="8"/>
  <c r="R37" i="8"/>
  <c r="Q37" i="8"/>
  <c r="P37" i="8"/>
  <c r="O37" i="8"/>
  <c r="N37" i="8"/>
  <c r="I37" i="8"/>
  <c r="W36" i="8"/>
  <c r="V36" i="8"/>
  <c r="U36" i="8"/>
  <c r="T36" i="8"/>
  <c r="S36" i="8"/>
  <c r="R36" i="8"/>
  <c r="Q36" i="8"/>
  <c r="P36" i="8"/>
  <c r="O36" i="8"/>
  <c r="N36" i="8"/>
  <c r="I36" i="8"/>
  <c r="W35" i="8"/>
  <c r="V35" i="8"/>
  <c r="U35" i="8"/>
  <c r="T35" i="8"/>
  <c r="S35" i="8"/>
  <c r="R35" i="8"/>
  <c r="Q35" i="8"/>
  <c r="P35" i="8"/>
  <c r="O35" i="8"/>
  <c r="N35" i="8"/>
  <c r="I35" i="8"/>
  <c r="W34" i="8"/>
  <c r="V34" i="8"/>
  <c r="U34" i="8"/>
  <c r="T34" i="8"/>
  <c r="S34" i="8"/>
  <c r="R34" i="8"/>
  <c r="Q34" i="8"/>
  <c r="P34" i="8"/>
  <c r="O34" i="8"/>
  <c r="N34" i="8"/>
  <c r="I34" i="8"/>
  <c r="W33" i="8"/>
  <c r="V33" i="8"/>
  <c r="U33" i="8"/>
  <c r="T33" i="8"/>
  <c r="S33" i="8"/>
  <c r="R33" i="8"/>
  <c r="Q33" i="8"/>
  <c r="P33" i="8"/>
  <c r="O33" i="8"/>
  <c r="N33" i="8"/>
  <c r="I33" i="8"/>
  <c r="W32" i="8"/>
  <c r="V32" i="8"/>
  <c r="U32" i="8"/>
  <c r="T32" i="8"/>
  <c r="S32" i="8"/>
  <c r="R32" i="8"/>
  <c r="Q32" i="8"/>
  <c r="P32" i="8"/>
  <c r="O32" i="8"/>
  <c r="N32" i="8"/>
  <c r="I32" i="8"/>
  <c r="W31" i="8"/>
  <c r="V31" i="8"/>
  <c r="U31" i="8"/>
  <c r="T31" i="8"/>
  <c r="S31" i="8"/>
  <c r="R31" i="8"/>
  <c r="Q31" i="8"/>
  <c r="P31" i="8"/>
  <c r="O31" i="8"/>
  <c r="N31" i="8"/>
  <c r="I31" i="8"/>
  <c r="W30" i="8"/>
  <c r="V30" i="8"/>
  <c r="U30" i="8"/>
  <c r="T30" i="8"/>
  <c r="S30" i="8"/>
  <c r="R30" i="8"/>
  <c r="Q30" i="8"/>
  <c r="P30" i="8"/>
  <c r="O30" i="8"/>
  <c r="N30" i="8"/>
  <c r="I30" i="8"/>
  <c r="W29" i="8"/>
  <c r="V29" i="8"/>
  <c r="U29" i="8"/>
  <c r="T29" i="8"/>
  <c r="S29" i="8"/>
  <c r="R29" i="8"/>
  <c r="Q29" i="8"/>
  <c r="P29" i="8"/>
  <c r="O29" i="8"/>
  <c r="N29" i="8"/>
  <c r="I29" i="8"/>
  <c r="W28" i="8"/>
  <c r="V28" i="8"/>
  <c r="U28" i="8"/>
  <c r="T28" i="8"/>
  <c r="S28" i="8"/>
  <c r="R28" i="8"/>
  <c r="Q28" i="8"/>
  <c r="P28" i="8"/>
  <c r="O28" i="8"/>
  <c r="N28" i="8"/>
  <c r="I28" i="8"/>
  <c r="W27" i="8"/>
  <c r="V27" i="8"/>
  <c r="U27" i="8"/>
  <c r="T27" i="8"/>
  <c r="S27" i="8"/>
  <c r="R27" i="8"/>
  <c r="Q27" i="8"/>
  <c r="P27" i="8"/>
  <c r="O27" i="8"/>
  <c r="N27" i="8"/>
  <c r="W26" i="8"/>
  <c r="V26" i="8"/>
  <c r="U26" i="8"/>
  <c r="T26" i="8"/>
  <c r="S26" i="8"/>
  <c r="R26" i="8"/>
  <c r="Q26" i="8"/>
  <c r="P26" i="8"/>
  <c r="O26" i="8"/>
  <c r="N26" i="8"/>
  <c r="W25" i="8"/>
  <c r="V25" i="8"/>
  <c r="U25" i="8"/>
  <c r="T25" i="8"/>
  <c r="S25" i="8"/>
  <c r="R25" i="8"/>
  <c r="Q25" i="8"/>
  <c r="P25" i="8"/>
  <c r="O25" i="8"/>
  <c r="N25" i="8"/>
  <c r="I25" i="8"/>
  <c r="W24" i="8"/>
  <c r="V24" i="8"/>
  <c r="U24" i="8"/>
  <c r="T24" i="8"/>
  <c r="S24" i="8"/>
  <c r="R24" i="8"/>
  <c r="Q24" i="8"/>
  <c r="P24" i="8"/>
  <c r="O24" i="8"/>
  <c r="N24" i="8"/>
  <c r="I24" i="8"/>
  <c r="W23" i="8"/>
  <c r="V23" i="8"/>
  <c r="X19" i="8" s="1"/>
  <c r="U23" i="8"/>
  <c r="T23" i="8"/>
  <c r="S23" i="8"/>
  <c r="R23" i="8"/>
  <c r="Q23" i="8"/>
  <c r="P23" i="8"/>
  <c r="O23" i="8"/>
  <c r="N23" i="8"/>
  <c r="I23" i="8"/>
  <c r="W22" i="8"/>
  <c r="V22" i="8"/>
  <c r="U22" i="8"/>
  <c r="T22" i="8"/>
  <c r="S22" i="8"/>
  <c r="R22" i="8"/>
  <c r="Q22" i="8"/>
  <c r="P22" i="8"/>
  <c r="O22" i="8"/>
  <c r="N22" i="8"/>
  <c r="I22" i="8"/>
  <c r="W21" i="8"/>
  <c r="V21" i="8"/>
  <c r="U21" i="8"/>
  <c r="T21" i="8"/>
  <c r="S21" i="8"/>
  <c r="R21" i="8"/>
  <c r="Q21" i="8"/>
  <c r="P21" i="8"/>
  <c r="O21" i="8"/>
  <c r="N21" i="8"/>
  <c r="I21" i="8"/>
  <c r="W20" i="8"/>
  <c r="V20" i="8"/>
  <c r="U20" i="8"/>
  <c r="T20" i="8"/>
  <c r="S20" i="8"/>
  <c r="R20" i="8"/>
  <c r="Q20" i="8"/>
  <c r="P20" i="8"/>
  <c r="O20" i="8"/>
  <c r="N20" i="8"/>
  <c r="I20" i="8"/>
  <c r="K19" i="8" s="1"/>
  <c r="S2" i="8" s="1"/>
  <c r="S1" i="8"/>
  <c r="I194" i="7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I178" i="7"/>
  <c r="I177" i="7"/>
  <c r="I176" i="7"/>
  <c r="I175" i="7"/>
  <c r="I174" i="7"/>
  <c r="I173" i="7"/>
  <c r="I172" i="7"/>
  <c r="I171" i="7"/>
  <c r="I170" i="7"/>
  <c r="I169" i="7"/>
  <c r="I168" i="7"/>
  <c r="I167" i="7"/>
  <c r="I166" i="7"/>
  <c r="I165" i="7"/>
  <c r="I164" i="7"/>
  <c r="I163" i="7"/>
  <c r="I162" i="7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W63" i="7"/>
  <c r="V63" i="7"/>
  <c r="U63" i="7"/>
  <c r="T63" i="7"/>
  <c r="S63" i="7"/>
  <c r="R63" i="7"/>
  <c r="Q63" i="7"/>
  <c r="P63" i="7"/>
  <c r="O63" i="7"/>
  <c r="N63" i="7"/>
  <c r="I63" i="7"/>
  <c r="W62" i="7"/>
  <c r="V62" i="7"/>
  <c r="U62" i="7"/>
  <c r="T62" i="7"/>
  <c r="S62" i="7"/>
  <c r="R62" i="7"/>
  <c r="Q62" i="7"/>
  <c r="P62" i="7"/>
  <c r="O62" i="7"/>
  <c r="N62" i="7"/>
  <c r="I62" i="7"/>
  <c r="W61" i="7"/>
  <c r="V61" i="7"/>
  <c r="U61" i="7"/>
  <c r="T61" i="7"/>
  <c r="S61" i="7"/>
  <c r="R61" i="7"/>
  <c r="Q61" i="7"/>
  <c r="P61" i="7"/>
  <c r="O61" i="7"/>
  <c r="N61" i="7"/>
  <c r="I61" i="7"/>
  <c r="W60" i="7"/>
  <c r="V60" i="7"/>
  <c r="U60" i="7"/>
  <c r="T60" i="7"/>
  <c r="S60" i="7"/>
  <c r="R60" i="7"/>
  <c r="Q60" i="7"/>
  <c r="P60" i="7"/>
  <c r="O60" i="7"/>
  <c r="N60" i="7"/>
  <c r="I60" i="7"/>
  <c r="W59" i="7"/>
  <c r="V59" i="7"/>
  <c r="U59" i="7"/>
  <c r="T59" i="7"/>
  <c r="S59" i="7"/>
  <c r="R59" i="7"/>
  <c r="Q59" i="7"/>
  <c r="P59" i="7"/>
  <c r="O59" i="7"/>
  <c r="N59" i="7"/>
  <c r="I59" i="7"/>
  <c r="W58" i="7"/>
  <c r="V58" i="7"/>
  <c r="U58" i="7"/>
  <c r="T58" i="7"/>
  <c r="S58" i="7"/>
  <c r="R58" i="7"/>
  <c r="Q58" i="7"/>
  <c r="P58" i="7"/>
  <c r="O58" i="7"/>
  <c r="N58" i="7"/>
  <c r="I58" i="7"/>
  <c r="W57" i="7"/>
  <c r="V57" i="7"/>
  <c r="U57" i="7"/>
  <c r="T57" i="7"/>
  <c r="S57" i="7"/>
  <c r="R57" i="7"/>
  <c r="Q57" i="7"/>
  <c r="P57" i="7"/>
  <c r="O57" i="7"/>
  <c r="N57" i="7"/>
  <c r="I57" i="7"/>
  <c r="W56" i="7"/>
  <c r="V56" i="7"/>
  <c r="U56" i="7"/>
  <c r="T56" i="7"/>
  <c r="S56" i="7"/>
  <c r="R56" i="7"/>
  <c r="Q56" i="7"/>
  <c r="P56" i="7"/>
  <c r="O56" i="7"/>
  <c r="N56" i="7"/>
  <c r="I56" i="7"/>
  <c r="W55" i="7"/>
  <c r="V55" i="7"/>
  <c r="U55" i="7"/>
  <c r="T55" i="7"/>
  <c r="S55" i="7"/>
  <c r="R55" i="7"/>
  <c r="Q55" i="7"/>
  <c r="P55" i="7"/>
  <c r="O55" i="7"/>
  <c r="N55" i="7"/>
  <c r="I55" i="7"/>
  <c r="W54" i="7"/>
  <c r="V54" i="7"/>
  <c r="U54" i="7"/>
  <c r="T54" i="7"/>
  <c r="S54" i="7"/>
  <c r="R54" i="7"/>
  <c r="Q54" i="7"/>
  <c r="P54" i="7"/>
  <c r="O54" i="7"/>
  <c r="N54" i="7"/>
  <c r="I54" i="7"/>
  <c r="W53" i="7"/>
  <c r="V53" i="7"/>
  <c r="U53" i="7"/>
  <c r="T53" i="7"/>
  <c r="S53" i="7"/>
  <c r="R53" i="7"/>
  <c r="Q53" i="7"/>
  <c r="P53" i="7"/>
  <c r="O53" i="7"/>
  <c r="N53" i="7"/>
  <c r="I53" i="7"/>
  <c r="W52" i="7"/>
  <c r="V52" i="7"/>
  <c r="U52" i="7"/>
  <c r="T52" i="7"/>
  <c r="S52" i="7"/>
  <c r="R52" i="7"/>
  <c r="Q52" i="7"/>
  <c r="P52" i="7"/>
  <c r="O52" i="7"/>
  <c r="N52" i="7"/>
  <c r="I52" i="7"/>
  <c r="W51" i="7"/>
  <c r="V51" i="7"/>
  <c r="U51" i="7"/>
  <c r="T51" i="7"/>
  <c r="S51" i="7"/>
  <c r="R51" i="7"/>
  <c r="Q51" i="7"/>
  <c r="P51" i="7"/>
  <c r="O51" i="7"/>
  <c r="N51" i="7"/>
  <c r="W50" i="7"/>
  <c r="V50" i="7"/>
  <c r="U50" i="7"/>
  <c r="T50" i="7"/>
  <c r="S50" i="7"/>
  <c r="R50" i="7"/>
  <c r="Q50" i="7"/>
  <c r="P50" i="7"/>
  <c r="O50" i="7"/>
  <c r="N50" i="7"/>
  <c r="I50" i="7"/>
  <c r="W49" i="7"/>
  <c r="V49" i="7"/>
  <c r="U49" i="7"/>
  <c r="T49" i="7"/>
  <c r="S49" i="7"/>
  <c r="R49" i="7"/>
  <c r="Q49" i="7"/>
  <c r="P49" i="7"/>
  <c r="O49" i="7"/>
  <c r="N49" i="7"/>
  <c r="I49" i="7"/>
  <c r="W48" i="7"/>
  <c r="V48" i="7"/>
  <c r="U48" i="7"/>
  <c r="T48" i="7"/>
  <c r="S48" i="7"/>
  <c r="R48" i="7"/>
  <c r="Q48" i="7"/>
  <c r="P48" i="7"/>
  <c r="O48" i="7"/>
  <c r="N48" i="7"/>
  <c r="I48" i="7"/>
  <c r="W47" i="7"/>
  <c r="V47" i="7"/>
  <c r="U47" i="7"/>
  <c r="T47" i="7"/>
  <c r="S47" i="7"/>
  <c r="R47" i="7"/>
  <c r="Q47" i="7"/>
  <c r="P47" i="7"/>
  <c r="O47" i="7"/>
  <c r="N47" i="7"/>
  <c r="I47" i="7"/>
  <c r="W46" i="7"/>
  <c r="V46" i="7"/>
  <c r="U46" i="7"/>
  <c r="T46" i="7"/>
  <c r="S46" i="7"/>
  <c r="R46" i="7"/>
  <c r="Q46" i="7"/>
  <c r="P46" i="7"/>
  <c r="O46" i="7"/>
  <c r="N46" i="7"/>
  <c r="I46" i="7"/>
  <c r="W45" i="7"/>
  <c r="V45" i="7"/>
  <c r="U45" i="7"/>
  <c r="T45" i="7"/>
  <c r="S45" i="7"/>
  <c r="R45" i="7"/>
  <c r="Q45" i="7"/>
  <c r="P45" i="7"/>
  <c r="O45" i="7"/>
  <c r="N45" i="7"/>
  <c r="I45" i="7"/>
  <c r="W44" i="7"/>
  <c r="V44" i="7"/>
  <c r="U44" i="7"/>
  <c r="T44" i="7"/>
  <c r="S44" i="7"/>
  <c r="R44" i="7"/>
  <c r="Q44" i="7"/>
  <c r="P44" i="7"/>
  <c r="O44" i="7"/>
  <c r="N44" i="7"/>
  <c r="I44" i="7"/>
  <c r="W43" i="7"/>
  <c r="V43" i="7"/>
  <c r="U43" i="7"/>
  <c r="T43" i="7"/>
  <c r="S43" i="7"/>
  <c r="R43" i="7"/>
  <c r="Q43" i="7"/>
  <c r="P43" i="7"/>
  <c r="O43" i="7"/>
  <c r="N43" i="7"/>
  <c r="I43" i="7"/>
  <c r="W42" i="7"/>
  <c r="V42" i="7"/>
  <c r="U42" i="7"/>
  <c r="T42" i="7"/>
  <c r="S42" i="7"/>
  <c r="R42" i="7"/>
  <c r="Q42" i="7"/>
  <c r="P42" i="7"/>
  <c r="O42" i="7"/>
  <c r="N42" i="7"/>
  <c r="I42" i="7"/>
  <c r="W41" i="7"/>
  <c r="V41" i="7"/>
  <c r="U41" i="7"/>
  <c r="T41" i="7"/>
  <c r="S41" i="7"/>
  <c r="R41" i="7"/>
  <c r="Q41" i="7"/>
  <c r="P41" i="7"/>
  <c r="O41" i="7"/>
  <c r="N41" i="7"/>
  <c r="I41" i="7"/>
  <c r="W40" i="7"/>
  <c r="V40" i="7"/>
  <c r="U40" i="7"/>
  <c r="T40" i="7"/>
  <c r="S40" i="7"/>
  <c r="R40" i="7"/>
  <c r="Q40" i="7"/>
  <c r="P40" i="7"/>
  <c r="O40" i="7"/>
  <c r="N40" i="7"/>
  <c r="I40" i="7"/>
  <c r="W39" i="7"/>
  <c r="V39" i="7"/>
  <c r="U39" i="7"/>
  <c r="T39" i="7"/>
  <c r="S39" i="7"/>
  <c r="R39" i="7"/>
  <c r="Q39" i="7"/>
  <c r="P39" i="7"/>
  <c r="O39" i="7"/>
  <c r="N39" i="7"/>
  <c r="I39" i="7"/>
  <c r="W38" i="7"/>
  <c r="V38" i="7"/>
  <c r="U38" i="7"/>
  <c r="T38" i="7"/>
  <c r="S38" i="7"/>
  <c r="R38" i="7"/>
  <c r="Q38" i="7"/>
  <c r="P38" i="7"/>
  <c r="O38" i="7"/>
  <c r="N38" i="7"/>
  <c r="I38" i="7"/>
  <c r="W37" i="7"/>
  <c r="V37" i="7"/>
  <c r="U37" i="7"/>
  <c r="T37" i="7"/>
  <c r="S37" i="7"/>
  <c r="R37" i="7"/>
  <c r="Q37" i="7"/>
  <c r="P37" i="7"/>
  <c r="O37" i="7"/>
  <c r="N37" i="7"/>
  <c r="I37" i="7"/>
  <c r="W36" i="7"/>
  <c r="V36" i="7"/>
  <c r="U36" i="7"/>
  <c r="T36" i="7"/>
  <c r="S36" i="7"/>
  <c r="R36" i="7"/>
  <c r="Q36" i="7"/>
  <c r="P36" i="7"/>
  <c r="O36" i="7"/>
  <c r="N36" i="7"/>
  <c r="I36" i="7"/>
  <c r="W35" i="7"/>
  <c r="V35" i="7"/>
  <c r="U35" i="7"/>
  <c r="T35" i="7"/>
  <c r="S35" i="7"/>
  <c r="R35" i="7"/>
  <c r="Q35" i="7"/>
  <c r="P35" i="7"/>
  <c r="O35" i="7"/>
  <c r="N35" i="7"/>
  <c r="I35" i="7"/>
  <c r="W34" i="7"/>
  <c r="V34" i="7"/>
  <c r="U34" i="7"/>
  <c r="T34" i="7"/>
  <c r="S34" i="7"/>
  <c r="R34" i="7"/>
  <c r="Q34" i="7"/>
  <c r="P34" i="7"/>
  <c r="O34" i="7"/>
  <c r="N34" i="7"/>
  <c r="I34" i="7"/>
  <c r="W33" i="7"/>
  <c r="V33" i="7"/>
  <c r="U33" i="7"/>
  <c r="T33" i="7"/>
  <c r="S33" i="7"/>
  <c r="R33" i="7"/>
  <c r="Q33" i="7"/>
  <c r="P33" i="7"/>
  <c r="O33" i="7"/>
  <c r="N33" i="7"/>
  <c r="I33" i="7"/>
  <c r="W32" i="7"/>
  <c r="V32" i="7"/>
  <c r="U32" i="7"/>
  <c r="T32" i="7"/>
  <c r="S32" i="7"/>
  <c r="R32" i="7"/>
  <c r="Q32" i="7"/>
  <c r="P32" i="7"/>
  <c r="O32" i="7"/>
  <c r="N32" i="7"/>
  <c r="I32" i="7"/>
  <c r="W31" i="7"/>
  <c r="V31" i="7"/>
  <c r="U31" i="7"/>
  <c r="T31" i="7"/>
  <c r="S31" i="7"/>
  <c r="R31" i="7"/>
  <c r="Q31" i="7"/>
  <c r="P31" i="7"/>
  <c r="O31" i="7"/>
  <c r="N31" i="7"/>
  <c r="I31" i="7"/>
  <c r="W30" i="7"/>
  <c r="V30" i="7"/>
  <c r="U30" i="7"/>
  <c r="T30" i="7"/>
  <c r="S30" i="7"/>
  <c r="R30" i="7"/>
  <c r="Q30" i="7"/>
  <c r="P30" i="7"/>
  <c r="O30" i="7"/>
  <c r="N30" i="7"/>
  <c r="I30" i="7"/>
  <c r="W29" i="7"/>
  <c r="V29" i="7"/>
  <c r="U29" i="7"/>
  <c r="T29" i="7"/>
  <c r="S29" i="7"/>
  <c r="R29" i="7"/>
  <c r="Q29" i="7"/>
  <c r="P29" i="7"/>
  <c r="O29" i="7"/>
  <c r="N29" i="7"/>
  <c r="I29" i="7"/>
  <c r="W28" i="7"/>
  <c r="V28" i="7"/>
  <c r="U28" i="7"/>
  <c r="T28" i="7"/>
  <c r="S28" i="7"/>
  <c r="R28" i="7"/>
  <c r="Q28" i="7"/>
  <c r="P28" i="7"/>
  <c r="O28" i="7"/>
  <c r="N28" i="7"/>
  <c r="I28" i="7"/>
  <c r="W27" i="7"/>
  <c r="V27" i="7"/>
  <c r="U27" i="7"/>
  <c r="T27" i="7"/>
  <c r="S27" i="7"/>
  <c r="R27" i="7"/>
  <c r="Q27" i="7"/>
  <c r="P27" i="7"/>
  <c r="O27" i="7"/>
  <c r="N27" i="7"/>
  <c r="I27" i="7"/>
  <c r="W26" i="7"/>
  <c r="V26" i="7"/>
  <c r="U26" i="7"/>
  <c r="T26" i="7"/>
  <c r="S26" i="7"/>
  <c r="R26" i="7"/>
  <c r="Q26" i="7"/>
  <c r="P26" i="7"/>
  <c r="O26" i="7"/>
  <c r="N26" i="7"/>
  <c r="I26" i="7"/>
  <c r="W25" i="7"/>
  <c r="V25" i="7"/>
  <c r="U25" i="7"/>
  <c r="T25" i="7"/>
  <c r="S25" i="7"/>
  <c r="R25" i="7"/>
  <c r="Q25" i="7"/>
  <c r="P25" i="7"/>
  <c r="O25" i="7"/>
  <c r="N25" i="7"/>
  <c r="I25" i="7"/>
  <c r="W24" i="7"/>
  <c r="V24" i="7"/>
  <c r="U24" i="7"/>
  <c r="T24" i="7"/>
  <c r="S24" i="7"/>
  <c r="R24" i="7"/>
  <c r="Q24" i="7"/>
  <c r="P24" i="7"/>
  <c r="O24" i="7"/>
  <c r="N24" i="7"/>
  <c r="I24" i="7"/>
  <c r="W23" i="7"/>
  <c r="V23" i="7"/>
  <c r="X19" i="7" s="1"/>
  <c r="U23" i="7"/>
  <c r="T23" i="7"/>
  <c r="S23" i="7"/>
  <c r="R23" i="7"/>
  <c r="Q23" i="7"/>
  <c r="P23" i="7"/>
  <c r="O23" i="7"/>
  <c r="N23" i="7"/>
  <c r="I23" i="7"/>
  <c r="W22" i="7"/>
  <c r="V22" i="7"/>
  <c r="U22" i="7"/>
  <c r="T22" i="7"/>
  <c r="S22" i="7"/>
  <c r="R22" i="7"/>
  <c r="Q22" i="7"/>
  <c r="P22" i="7"/>
  <c r="O22" i="7"/>
  <c r="N22" i="7"/>
  <c r="I22" i="7"/>
  <c r="W21" i="7"/>
  <c r="V21" i="7"/>
  <c r="U21" i="7"/>
  <c r="T21" i="7"/>
  <c r="S21" i="7"/>
  <c r="R21" i="7"/>
  <c r="Q21" i="7"/>
  <c r="P21" i="7"/>
  <c r="O21" i="7"/>
  <c r="N21" i="7"/>
  <c r="I21" i="7"/>
  <c r="W20" i="7"/>
  <c r="V20" i="7"/>
  <c r="U20" i="7"/>
  <c r="T20" i="7"/>
  <c r="S20" i="7"/>
  <c r="R20" i="7"/>
  <c r="Q20" i="7"/>
  <c r="P20" i="7"/>
  <c r="O20" i="7"/>
  <c r="N20" i="7"/>
  <c r="I20" i="7"/>
  <c r="K19" i="7"/>
  <c r="S2" i="7" s="1"/>
  <c r="S1" i="7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W36" i="6"/>
  <c r="V36" i="6"/>
  <c r="U36" i="6"/>
  <c r="T36" i="6"/>
  <c r="S36" i="6"/>
  <c r="R36" i="6"/>
  <c r="Q36" i="6"/>
  <c r="P36" i="6"/>
  <c r="O36" i="6"/>
  <c r="N36" i="6"/>
  <c r="I36" i="6"/>
  <c r="W35" i="6"/>
  <c r="V35" i="6"/>
  <c r="U35" i="6"/>
  <c r="T35" i="6"/>
  <c r="S35" i="6"/>
  <c r="R35" i="6"/>
  <c r="Q35" i="6"/>
  <c r="P35" i="6"/>
  <c r="O35" i="6"/>
  <c r="N35" i="6"/>
  <c r="I35" i="6"/>
  <c r="W34" i="6"/>
  <c r="V34" i="6"/>
  <c r="U34" i="6"/>
  <c r="T34" i="6"/>
  <c r="S34" i="6"/>
  <c r="R34" i="6"/>
  <c r="Q34" i="6"/>
  <c r="P34" i="6"/>
  <c r="O34" i="6"/>
  <c r="N34" i="6"/>
  <c r="W33" i="6"/>
  <c r="V33" i="6"/>
  <c r="U33" i="6"/>
  <c r="T33" i="6"/>
  <c r="S33" i="6"/>
  <c r="R33" i="6"/>
  <c r="Q33" i="6"/>
  <c r="P33" i="6"/>
  <c r="O33" i="6"/>
  <c r="N33" i="6"/>
  <c r="W32" i="6"/>
  <c r="V32" i="6"/>
  <c r="U32" i="6"/>
  <c r="T32" i="6"/>
  <c r="S32" i="6"/>
  <c r="R32" i="6"/>
  <c r="Q32" i="6"/>
  <c r="P32" i="6"/>
  <c r="O32" i="6"/>
  <c r="N32" i="6"/>
  <c r="I32" i="6"/>
  <c r="W31" i="6"/>
  <c r="V31" i="6"/>
  <c r="U31" i="6"/>
  <c r="T31" i="6"/>
  <c r="S31" i="6"/>
  <c r="R31" i="6"/>
  <c r="Q31" i="6"/>
  <c r="P31" i="6"/>
  <c r="O31" i="6"/>
  <c r="N31" i="6"/>
  <c r="I31" i="6"/>
  <c r="W30" i="6"/>
  <c r="V30" i="6"/>
  <c r="U30" i="6"/>
  <c r="T30" i="6"/>
  <c r="S30" i="6"/>
  <c r="R30" i="6"/>
  <c r="Q30" i="6"/>
  <c r="P30" i="6"/>
  <c r="O30" i="6"/>
  <c r="N30" i="6"/>
  <c r="I30" i="6"/>
  <c r="W29" i="6"/>
  <c r="V29" i="6"/>
  <c r="U29" i="6"/>
  <c r="T29" i="6"/>
  <c r="S29" i="6"/>
  <c r="R29" i="6"/>
  <c r="Q29" i="6"/>
  <c r="P29" i="6"/>
  <c r="O29" i="6"/>
  <c r="N29" i="6"/>
  <c r="I29" i="6"/>
  <c r="W28" i="6"/>
  <c r="V28" i="6"/>
  <c r="U28" i="6"/>
  <c r="T28" i="6"/>
  <c r="S28" i="6"/>
  <c r="R28" i="6"/>
  <c r="Q28" i="6"/>
  <c r="P28" i="6"/>
  <c r="O28" i="6"/>
  <c r="N28" i="6"/>
  <c r="I28" i="6"/>
  <c r="W27" i="6"/>
  <c r="V27" i="6"/>
  <c r="U27" i="6"/>
  <c r="T27" i="6"/>
  <c r="S27" i="6"/>
  <c r="R27" i="6"/>
  <c r="Q27" i="6"/>
  <c r="P27" i="6"/>
  <c r="O27" i="6"/>
  <c r="N27" i="6"/>
  <c r="I27" i="6"/>
  <c r="W26" i="6"/>
  <c r="V26" i="6"/>
  <c r="U26" i="6"/>
  <c r="T26" i="6"/>
  <c r="S26" i="6"/>
  <c r="R26" i="6"/>
  <c r="Q26" i="6"/>
  <c r="P26" i="6"/>
  <c r="O26" i="6"/>
  <c r="N26" i="6"/>
  <c r="I26" i="6"/>
  <c r="W25" i="6"/>
  <c r="V25" i="6"/>
  <c r="U25" i="6"/>
  <c r="T25" i="6"/>
  <c r="S25" i="6"/>
  <c r="R25" i="6"/>
  <c r="Q25" i="6"/>
  <c r="P25" i="6"/>
  <c r="O25" i="6"/>
  <c r="N25" i="6"/>
  <c r="I25" i="6"/>
  <c r="W24" i="6"/>
  <c r="V24" i="6"/>
  <c r="U24" i="6"/>
  <c r="T24" i="6"/>
  <c r="S24" i="6"/>
  <c r="R24" i="6"/>
  <c r="Q24" i="6"/>
  <c r="P24" i="6"/>
  <c r="O24" i="6"/>
  <c r="N24" i="6"/>
  <c r="I24" i="6"/>
  <c r="W23" i="6"/>
  <c r="V23" i="6"/>
  <c r="X19" i="6" s="1"/>
  <c r="U23" i="6"/>
  <c r="T23" i="6"/>
  <c r="S23" i="6"/>
  <c r="R23" i="6"/>
  <c r="Q23" i="6"/>
  <c r="P23" i="6"/>
  <c r="O23" i="6"/>
  <c r="N23" i="6"/>
  <c r="I23" i="6"/>
  <c r="W22" i="6"/>
  <c r="V22" i="6"/>
  <c r="U22" i="6"/>
  <c r="T22" i="6"/>
  <c r="S22" i="6"/>
  <c r="R22" i="6"/>
  <c r="Q22" i="6"/>
  <c r="P22" i="6"/>
  <c r="O22" i="6"/>
  <c r="N22" i="6"/>
  <c r="I22" i="6"/>
  <c r="W21" i="6"/>
  <c r="V21" i="6"/>
  <c r="U21" i="6"/>
  <c r="T21" i="6"/>
  <c r="S21" i="6"/>
  <c r="R21" i="6"/>
  <c r="Q21" i="6"/>
  <c r="P21" i="6"/>
  <c r="O21" i="6"/>
  <c r="N21" i="6"/>
  <c r="I21" i="6"/>
  <c r="W20" i="6"/>
  <c r="V20" i="6"/>
  <c r="U20" i="6"/>
  <c r="T20" i="6"/>
  <c r="S20" i="6"/>
  <c r="R20" i="6"/>
  <c r="Q20" i="6"/>
  <c r="P20" i="6"/>
  <c r="O20" i="6"/>
  <c r="N20" i="6"/>
  <c r="I20" i="6"/>
  <c r="K19" i="6"/>
  <c r="S2" i="6" s="1"/>
  <c r="S1" i="6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W22" i="5"/>
  <c r="V22" i="5"/>
  <c r="U22" i="5"/>
  <c r="T22" i="5"/>
  <c r="S22" i="5"/>
  <c r="R22" i="5"/>
  <c r="Q22" i="5"/>
  <c r="P22" i="5"/>
  <c r="O22" i="5"/>
  <c r="N22" i="5"/>
  <c r="I22" i="5"/>
  <c r="W21" i="5"/>
  <c r="V21" i="5"/>
  <c r="X19" i="5" s="1"/>
  <c r="U21" i="5"/>
  <c r="T21" i="5"/>
  <c r="S21" i="5"/>
  <c r="R21" i="5"/>
  <c r="Q21" i="5"/>
  <c r="P21" i="5"/>
  <c r="O21" i="5"/>
  <c r="N21" i="5"/>
  <c r="I21" i="5"/>
  <c r="W20" i="5"/>
  <c r="V20" i="5"/>
  <c r="U20" i="5"/>
  <c r="T20" i="5"/>
  <c r="S20" i="5"/>
  <c r="R20" i="5"/>
  <c r="Q20" i="5"/>
  <c r="P20" i="5"/>
  <c r="O20" i="5"/>
  <c r="N20" i="5"/>
  <c r="I20" i="5"/>
  <c r="K19" i="5" s="1"/>
  <c r="S2" i="5" s="1"/>
  <c r="S1" i="5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W23" i="4"/>
  <c r="V23" i="4"/>
  <c r="U23" i="4"/>
  <c r="T23" i="4"/>
  <c r="S23" i="4"/>
  <c r="R23" i="4"/>
  <c r="Q23" i="4"/>
  <c r="P23" i="4"/>
  <c r="O23" i="4"/>
  <c r="N23" i="4"/>
  <c r="I23" i="4"/>
  <c r="W22" i="4"/>
  <c r="V22" i="4"/>
  <c r="U22" i="4"/>
  <c r="T22" i="4"/>
  <c r="S22" i="4"/>
  <c r="R22" i="4"/>
  <c r="Q22" i="4"/>
  <c r="P22" i="4"/>
  <c r="O22" i="4"/>
  <c r="N22" i="4"/>
  <c r="I22" i="4"/>
  <c r="W21" i="4"/>
  <c r="V21" i="4"/>
  <c r="X19" i="4" s="1"/>
  <c r="U21" i="4"/>
  <c r="T21" i="4"/>
  <c r="S21" i="4"/>
  <c r="R21" i="4"/>
  <c r="Q21" i="4"/>
  <c r="P21" i="4"/>
  <c r="O21" i="4"/>
  <c r="N21" i="4"/>
  <c r="I21" i="4"/>
  <c r="W20" i="4"/>
  <c r="V20" i="4"/>
  <c r="U20" i="4"/>
  <c r="T20" i="4"/>
  <c r="S20" i="4"/>
  <c r="R20" i="4"/>
  <c r="Q20" i="4"/>
  <c r="P20" i="4"/>
  <c r="O20" i="4"/>
  <c r="N20" i="4"/>
  <c r="I20" i="4"/>
  <c r="K19" i="4"/>
  <c r="S2" i="4"/>
  <c r="S1" i="4"/>
  <c r="S3" i="4" s="1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W22" i="3"/>
  <c r="V22" i="3"/>
  <c r="U22" i="3"/>
  <c r="T22" i="3"/>
  <c r="S22" i="3"/>
  <c r="R22" i="3"/>
  <c r="Q22" i="3"/>
  <c r="P22" i="3"/>
  <c r="O22" i="3"/>
  <c r="N22" i="3"/>
  <c r="I22" i="3"/>
  <c r="W21" i="3"/>
  <c r="V21" i="3"/>
  <c r="U21" i="3"/>
  <c r="T21" i="3"/>
  <c r="S21" i="3"/>
  <c r="R21" i="3"/>
  <c r="Q21" i="3"/>
  <c r="P21" i="3"/>
  <c r="O21" i="3"/>
  <c r="N21" i="3"/>
  <c r="I21" i="3"/>
  <c r="W20" i="3"/>
  <c r="V20" i="3"/>
  <c r="U20" i="3"/>
  <c r="T20" i="3"/>
  <c r="S20" i="3"/>
  <c r="R20" i="3"/>
  <c r="Q20" i="3"/>
  <c r="P20" i="3"/>
  <c r="O20" i="3"/>
  <c r="N20" i="3"/>
  <c r="I20" i="3"/>
  <c r="X19" i="3"/>
  <c r="K19" i="3"/>
  <c r="S2" i="3" s="1"/>
  <c r="S1" i="3"/>
  <c r="S3" i="3" s="1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W22" i="2"/>
  <c r="V22" i="2"/>
  <c r="U22" i="2"/>
  <c r="T22" i="2"/>
  <c r="S22" i="2"/>
  <c r="R22" i="2"/>
  <c r="Q22" i="2"/>
  <c r="P22" i="2"/>
  <c r="O22" i="2"/>
  <c r="N22" i="2"/>
  <c r="I22" i="2"/>
  <c r="W21" i="2"/>
  <c r="V21" i="2"/>
  <c r="U21" i="2"/>
  <c r="T21" i="2"/>
  <c r="S21" i="2"/>
  <c r="R21" i="2"/>
  <c r="Q21" i="2"/>
  <c r="P21" i="2"/>
  <c r="O21" i="2"/>
  <c r="N21" i="2"/>
  <c r="I21" i="2"/>
  <c r="W20" i="2"/>
  <c r="V20" i="2"/>
  <c r="X19" i="2" s="1"/>
  <c r="U20" i="2"/>
  <c r="T20" i="2"/>
  <c r="S20" i="2"/>
  <c r="R20" i="2"/>
  <c r="Q20" i="2"/>
  <c r="P20" i="2"/>
  <c r="O20" i="2"/>
  <c r="N20" i="2"/>
  <c r="I20" i="2"/>
  <c r="K19" i="2"/>
  <c r="S2" i="2" s="1"/>
  <c r="S3" i="2" s="1"/>
  <c r="S1" i="2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W30" i="1"/>
  <c r="V30" i="1"/>
  <c r="U30" i="1"/>
  <c r="T30" i="1"/>
  <c r="S30" i="1"/>
  <c r="R30" i="1"/>
  <c r="Q30" i="1"/>
  <c r="P30" i="1"/>
  <c r="O30" i="1"/>
  <c r="I30" i="1"/>
  <c r="W29" i="1"/>
  <c r="V29" i="1"/>
  <c r="U29" i="1"/>
  <c r="T29" i="1"/>
  <c r="S29" i="1"/>
  <c r="R29" i="1"/>
  <c r="Q29" i="1"/>
  <c r="P29" i="1"/>
  <c r="O29" i="1"/>
  <c r="I29" i="1"/>
  <c r="W28" i="1"/>
  <c r="V28" i="1"/>
  <c r="U28" i="1"/>
  <c r="T28" i="1"/>
  <c r="S28" i="1"/>
  <c r="R28" i="1"/>
  <c r="Q28" i="1"/>
  <c r="P28" i="1"/>
  <c r="O28" i="1"/>
  <c r="I28" i="1"/>
  <c r="W27" i="1"/>
  <c r="V27" i="1"/>
  <c r="U27" i="1"/>
  <c r="T27" i="1"/>
  <c r="S27" i="1"/>
  <c r="R27" i="1"/>
  <c r="Q27" i="1"/>
  <c r="P27" i="1"/>
  <c r="O27" i="1"/>
  <c r="I27" i="1"/>
  <c r="W26" i="1"/>
  <c r="V26" i="1"/>
  <c r="U26" i="1"/>
  <c r="T26" i="1"/>
  <c r="S26" i="1"/>
  <c r="R26" i="1"/>
  <c r="Q26" i="1"/>
  <c r="P26" i="1"/>
  <c r="O26" i="1"/>
  <c r="I26" i="1"/>
  <c r="W25" i="1"/>
  <c r="V25" i="1"/>
  <c r="U25" i="1"/>
  <c r="T25" i="1"/>
  <c r="S25" i="1"/>
  <c r="R25" i="1"/>
  <c r="Q25" i="1"/>
  <c r="P25" i="1"/>
  <c r="O25" i="1"/>
  <c r="I25" i="1"/>
  <c r="W24" i="1"/>
  <c r="V24" i="1"/>
  <c r="U24" i="1"/>
  <c r="T24" i="1"/>
  <c r="S24" i="1"/>
  <c r="R24" i="1"/>
  <c r="Q24" i="1"/>
  <c r="P24" i="1"/>
  <c r="O24" i="1"/>
  <c r="I24" i="1"/>
  <c r="W23" i="1"/>
  <c r="V23" i="1"/>
  <c r="U23" i="1"/>
  <c r="T23" i="1"/>
  <c r="S23" i="1"/>
  <c r="R23" i="1"/>
  <c r="Q23" i="1"/>
  <c r="P23" i="1"/>
  <c r="O23" i="1"/>
  <c r="I23" i="1"/>
  <c r="W22" i="1"/>
  <c r="V22" i="1"/>
  <c r="U22" i="1"/>
  <c r="T22" i="1"/>
  <c r="S22" i="1"/>
  <c r="R22" i="1"/>
  <c r="Q22" i="1"/>
  <c r="P22" i="1"/>
  <c r="O22" i="1"/>
  <c r="I22" i="1"/>
  <c r="W21" i="1"/>
  <c r="V21" i="1"/>
  <c r="X19" i="1" s="1"/>
  <c r="U21" i="1"/>
  <c r="T21" i="1"/>
  <c r="S21" i="1"/>
  <c r="R21" i="1"/>
  <c r="Q21" i="1"/>
  <c r="P21" i="1"/>
  <c r="O21" i="1"/>
  <c r="I21" i="1"/>
  <c r="W20" i="1"/>
  <c r="V20" i="1"/>
  <c r="U20" i="1"/>
  <c r="T20" i="1"/>
  <c r="S20" i="1"/>
  <c r="R20" i="1"/>
  <c r="Q20" i="1"/>
  <c r="P20" i="1"/>
  <c r="O20" i="1"/>
  <c r="N20" i="1"/>
  <c r="I20" i="1"/>
  <c r="K19" i="1"/>
  <c r="S2" i="1" s="1"/>
  <c r="S1" i="1"/>
  <c r="S3" i="1" s="1"/>
  <c r="S3" i="9" l="1"/>
  <c r="T7" i="1"/>
  <c r="T9" i="1"/>
  <c r="T8" i="1"/>
  <c r="T3" i="1"/>
  <c r="T9" i="11"/>
  <c r="T8" i="11"/>
  <c r="T7" i="11"/>
  <c r="T3" i="11"/>
  <c r="T9" i="3"/>
  <c r="T8" i="3"/>
  <c r="T7" i="3"/>
  <c r="T3" i="3"/>
  <c r="T8" i="4"/>
  <c r="T9" i="4"/>
  <c r="T7" i="4"/>
  <c r="T3" i="4"/>
  <c r="S3" i="6"/>
  <c r="S3" i="10"/>
  <c r="T8" i="12"/>
  <c r="T7" i="12"/>
  <c r="T3" i="12"/>
  <c r="T9" i="12"/>
  <c r="T9" i="2"/>
  <c r="T8" i="2"/>
  <c r="T3" i="2"/>
  <c r="T7" i="2"/>
  <c r="S3" i="7"/>
  <c r="S3" i="8"/>
  <c r="S3" i="5"/>
  <c r="T9" i="9" l="1"/>
  <c r="T8" i="9"/>
  <c r="T7" i="9"/>
  <c r="T3" i="9"/>
  <c r="T7" i="6"/>
  <c r="T9" i="6"/>
  <c r="T8" i="6"/>
  <c r="T3" i="6"/>
  <c r="T9" i="5"/>
  <c r="T8" i="5"/>
  <c r="T7" i="5"/>
  <c r="T3" i="5"/>
  <c r="T7" i="8"/>
  <c r="T8" i="8"/>
  <c r="T3" i="8"/>
  <c r="T9" i="8"/>
  <c r="T3" i="7"/>
  <c r="T7" i="7"/>
  <c r="T9" i="7"/>
  <c r="T8" i="7"/>
  <c r="T9" i="10"/>
  <c r="T8" i="10"/>
  <c r="T7" i="10"/>
  <c r="T3" i="10"/>
</calcChain>
</file>

<file path=xl/sharedStrings.xml><?xml version="1.0" encoding="utf-8"?>
<sst xmlns="http://schemas.openxmlformats.org/spreadsheetml/2006/main" count="5396" uniqueCount="1109">
  <si>
    <t>TOTAL REVENUE</t>
  </si>
  <si>
    <t>OPERATIONAL COST</t>
  </si>
  <si>
    <t>PROFIT</t>
  </si>
  <si>
    <t>TARGET</t>
  </si>
  <si>
    <t>Tabung</t>
  </si>
  <si>
    <t>Tambah modal</t>
  </si>
  <si>
    <t>Marketing &amp; Branding</t>
  </si>
  <si>
    <t>JANUARI</t>
  </si>
  <si>
    <t>Total Uang Keluar</t>
  </si>
  <si>
    <t>Pilih Kategori</t>
  </si>
  <si>
    <t>Operational</t>
  </si>
  <si>
    <t>NO</t>
  </si>
  <si>
    <t>TGL</t>
  </si>
  <si>
    <t>KATEGORI</t>
  </si>
  <si>
    <t>Nama Barang</t>
  </si>
  <si>
    <t>TIME</t>
  </si>
  <si>
    <t>QTY</t>
  </si>
  <si>
    <t>SATUAN</t>
  </si>
  <si>
    <t>HARGA</t>
  </si>
  <si>
    <t>TOTAL</t>
  </si>
  <si>
    <t>NOTE</t>
  </si>
  <si>
    <t>Sewa Toko</t>
  </si>
  <si>
    <t>Reccuring</t>
  </si>
  <si>
    <t xml:space="preserve">bulan </t>
  </si>
  <si>
    <t xml:space="preserve">Bu Sadya </t>
  </si>
  <si>
    <t xml:space="preserve">Canang Tisu DLL </t>
  </si>
  <si>
    <t>Bopeas</t>
  </si>
  <si>
    <t>Banjar</t>
  </si>
  <si>
    <t>Banjar Gladag</t>
  </si>
  <si>
    <t>Air PDAM</t>
  </si>
  <si>
    <t>PDAM</t>
  </si>
  <si>
    <t>Wifi</t>
  </si>
  <si>
    <t xml:space="preserve">Indihome </t>
  </si>
  <si>
    <t xml:space="preserve">Listrik </t>
  </si>
  <si>
    <t>PLN</t>
  </si>
  <si>
    <t>Gaji Karyawan</t>
  </si>
  <si>
    <t xml:space="preserve">Gaji Store </t>
  </si>
  <si>
    <t xml:space="preserve">Ilmi </t>
  </si>
  <si>
    <t>Erni</t>
  </si>
  <si>
    <t>Tenant</t>
  </si>
  <si>
    <t>CFD</t>
  </si>
  <si>
    <t xml:space="preserve">Bayar CFD </t>
  </si>
  <si>
    <t xml:space="preserve">Transportasi </t>
  </si>
  <si>
    <t>KIMI</t>
  </si>
  <si>
    <t>Gaji CFD</t>
  </si>
  <si>
    <t xml:space="preserve">Kasir  Majoo </t>
  </si>
  <si>
    <t xml:space="preserve">Kasir Majoo </t>
  </si>
  <si>
    <t xml:space="preserve">Tabungan Galungan </t>
  </si>
  <si>
    <t xml:space="preserve">Tabungan </t>
  </si>
  <si>
    <t>Cicilan Laptop</t>
  </si>
  <si>
    <t>Shopee</t>
  </si>
  <si>
    <t>Stock Dagangan</t>
  </si>
  <si>
    <t xml:space="preserve">Press on Ulan </t>
  </si>
  <si>
    <t xml:space="preserve">Yulan beauty </t>
  </si>
  <si>
    <t xml:space="preserve">Parfum Conviant </t>
  </si>
  <si>
    <t>Nina Conviant</t>
  </si>
  <si>
    <t>Bandana rajut 1</t>
  </si>
  <si>
    <t xml:space="preserve">Tas rajut </t>
  </si>
  <si>
    <t xml:space="preserve">Bunga Rajut </t>
  </si>
  <si>
    <t xml:space="preserve">Rani bunga rajut </t>
  </si>
  <si>
    <t xml:space="preserve">Yuni </t>
  </si>
  <si>
    <t>Ganci Yuni Des</t>
  </si>
  <si>
    <t>Ganci Yuni Jan</t>
  </si>
  <si>
    <t>Rizka</t>
  </si>
  <si>
    <t xml:space="preserve">Mba Rizka </t>
  </si>
  <si>
    <t xml:space="preserve">Dewi </t>
  </si>
  <si>
    <t xml:space="preserve">Bunga Kawat Dewi </t>
  </si>
  <si>
    <t xml:space="preserve">Sumbangan Panti </t>
  </si>
  <si>
    <t>One Time</t>
  </si>
  <si>
    <t xml:space="preserve">Global Mart </t>
  </si>
  <si>
    <t xml:space="preserve">Kaos Kaki </t>
  </si>
  <si>
    <t xml:space="preserve">Italy Grosir </t>
  </si>
  <si>
    <t xml:space="preserve">Boneka </t>
  </si>
  <si>
    <t>Packing</t>
  </si>
  <si>
    <t xml:space="preserve">Plastik Packing </t>
  </si>
  <si>
    <t>BN Plastik</t>
  </si>
  <si>
    <t xml:space="preserve">Gelang Kerang </t>
  </si>
  <si>
    <t xml:space="preserve">Craft Dewata </t>
  </si>
  <si>
    <t xml:space="preserve">Kartu valentine </t>
  </si>
  <si>
    <t xml:space="preserve">Bina Jaya Foto Copy </t>
  </si>
  <si>
    <t xml:space="preserve">Kaca Mata </t>
  </si>
  <si>
    <t>paket</t>
  </si>
  <si>
    <t xml:space="preserve">Import Murah </t>
  </si>
  <si>
    <t>Stock Bahan</t>
  </si>
  <si>
    <t xml:space="preserve">Pengait dan rantai </t>
  </si>
  <si>
    <t>Shopetvee</t>
  </si>
  <si>
    <t>Ganci boneka rajut</t>
  </si>
  <si>
    <t>Rumah rajut 28</t>
  </si>
  <si>
    <t xml:space="preserve">Jeday Jepun </t>
  </si>
  <si>
    <t xml:space="preserve">Smile Girl Official </t>
  </si>
  <si>
    <t>Scrunchie</t>
  </si>
  <si>
    <t>Kerudungsalmah</t>
  </si>
  <si>
    <t>Pita</t>
  </si>
  <si>
    <t>malikabando</t>
  </si>
  <si>
    <t>tumbler pastel</t>
  </si>
  <si>
    <t>Dlatos Store</t>
  </si>
  <si>
    <t xml:space="preserve">Tas Puffy </t>
  </si>
  <si>
    <t xml:space="preserve">Velvet Vine Shop </t>
  </si>
  <si>
    <t xml:space="preserve">Kalung bintang batu alam </t>
  </si>
  <si>
    <t xml:space="preserve">moving on </t>
  </si>
  <si>
    <t xml:space="preserve">civeto store </t>
  </si>
  <si>
    <t>Headband</t>
  </si>
  <si>
    <t>ce es olshop</t>
  </si>
  <si>
    <t>Denayyara</t>
  </si>
  <si>
    <t>Plastik OPP Berlian</t>
  </si>
  <si>
    <t>Pengait</t>
  </si>
  <si>
    <t>shopetvee</t>
  </si>
  <si>
    <t>Collbook</t>
  </si>
  <si>
    <t>Grosir Mart Official</t>
  </si>
  <si>
    <t>Manik manik</t>
  </si>
  <si>
    <t>Toko Dunia Monte</t>
  </si>
  <si>
    <t xml:space="preserve">Aimilo Official Shop </t>
  </si>
  <si>
    <t>MARET</t>
  </si>
  <si>
    <t>1</t>
  </si>
  <si>
    <t>2</t>
  </si>
  <si>
    <t>3</t>
  </si>
  <si>
    <t>4</t>
  </si>
  <si>
    <t>5</t>
  </si>
  <si>
    <t>6</t>
  </si>
  <si>
    <t>7</t>
  </si>
  <si>
    <t>Gaji Store + THR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</si>
  <si>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</si>
  <si>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</si>
  <si>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</si>
  <si>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</si>
  <si>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</si>
  <si>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</si>
  <si>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</si>
  <si>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</si>
  <si>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</si>
  <si>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</si>
  <si>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</si>
  <si>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 xml:space="preserve">Jepit Jepun </t>
  </si>
  <si>
    <t>pack</t>
  </si>
  <si>
    <t xml:space="preserve">Oura Accesories </t>
  </si>
  <si>
    <t>19</t>
  </si>
  <si>
    <t xml:space="preserve">Kipas </t>
  </si>
  <si>
    <t xml:space="preserve">Trendy Shop Bali </t>
  </si>
  <si>
    <t>20</t>
  </si>
  <si>
    <t xml:space="preserve">Botol </t>
  </si>
  <si>
    <t>pusatsouvenirbotol</t>
  </si>
  <si>
    <t>21</t>
  </si>
  <si>
    <t xml:space="preserve">kepala bunga anggrek </t>
  </si>
  <si>
    <t>anityoriy</t>
  </si>
  <si>
    <t>22</t>
  </si>
  <si>
    <t>Jepit silver + isolasi</t>
  </si>
  <si>
    <t xml:space="preserve">Tk Charissa bali </t>
  </si>
  <si>
    <t>23</t>
  </si>
  <si>
    <t>manik manik</t>
  </si>
  <si>
    <t>Anda DIY Toko</t>
  </si>
  <si>
    <t>24</t>
  </si>
  <si>
    <t xml:space="preserve">Bunga Kawat bulu </t>
  </si>
  <si>
    <t>Pristaflo</t>
  </si>
  <si>
    <t>25</t>
  </si>
  <si>
    <t>Jepit anggrek</t>
  </si>
  <si>
    <t>happylemon8</t>
  </si>
  <si>
    <t>26</t>
  </si>
  <si>
    <t xml:space="preserve">Pengait manik </t>
  </si>
  <si>
    <t>27</t>
  </si>
  <si>
    <t>Note Book</t>
  </si>
  <si>
    <t xml:space="preserve">Ayok Belanja Smart </t>
  </si>
  <si>
    <t>28</t>
  </si>
  <si>
    <t>Bross hijab</t>
  </si>
  <si>
    <t>jilbabgrosirsurabaya</t>
  </si>
  <si>
    <t>29</t>
  </si>
  <si>
    <t>Jepit anak</t>
  </si>
  <si>
    <t>30</t>
  </si>
  <si>
    <t>Botol minum</t>
  </si>
  <si>
    <t>plannetvenus</t>
  </si>
  <si>
    <t>31</t>
  </si>
  <si>
    <t>sweet bloom</t>
  </si>
  <si>
    <t>32</t>
  </si>
  <si>
    <t>33</t>
  </si>
  <si>
    <t>clay</t>
  </si>
  <si>
    <t>hugostoysbali</t>
  </si>
  <si>
    <t>34</t>
  </si>
  <si>
    <t>collbook</t>
  </si>
  <si>
    <t>grosir mart official</t>
  </si>
  <si>
    <t>35</t>
  </si>
  <si>
    <t>scrunchies</t>
  </si>
  <si>
    <t>kerudung salmah</t>
  </si>
  <si>
    <t>36</t>
  </si>
  <si>
    <t>averylbc</t>
  </si>
  <si>
    <t>37</t>
  </si>
  <si>
    <t>Buket bunga</t>
  </si>
  <si>
    <t>Nekomamushi</t>
  </si>
  <si>
    <t>38</t>
  </si>
  <si>
    <t>amplop THR</t>
  </si>
  <si>
    <t>Iska Media</t>
  </si>
  <si>
    <t>39</t>
  </si>
  <si>
    <t>Tumbler oho</t>
  </si>
  <si>
    <t>40</t>
  </si>
  <si>
    <t>Kertas kado</t>
  </si>
  <si>
    <t>Domikadoku</t>
  </si>
  <si>
    <t>41</t>
  </si>
  <si>
    <t xml:space="preserve">Jepit anggrek dan potong kuku </t>
  </si>
  <si>
    <t>Bee One Store</t>
  </si>
  <si>
    <t>42</t>
  </si>
  <si>
    <t>Aimilo Official Shop</t>
  </si>
  <si>
    <t>43</t>
  </si>
  <si>
    <t>Rantai dan kawat bunga</t>
  </si>
  <si>
    <t>ias.store</t>
  </si>
  <si>
    <t>44</t>
  </si>
  <si>
    <t>kertas buket bunga</t>
  </si>
  <si>
    <t>crafthingyy</t>
  </si>
  <si>
    <t>45</t>
  </si>
  <si>
    <t>athena studio</t>
  </si>
  <si>
    <t>46</t>
  </si>
  <si>
    <t>Jepit kristal</t>
  </si>
  <si>
    <t>Quality store acc</t>
  </si>
  <si>
    <t>47</t>
  </si>
  <si>
    <t>Jepit jepun set</t>
  </si>
  <si>
    <t>Rumah Sukses bersama official shop</t>
  </si>
  <si>
    <t>48</t>
  </si>
  <si>
    <t>Jeday jepun</t>
  </si>
  <si>
    <t>hlshop</t>
  </si>
  <si>
    <t>49</t>
  </si>
  <si>
    <t>Jeday anggrek</t>
  </si>
  <si>
    <t>50</t>
  </si>
  <si>
    <t>Bunga Anggrek</t>
  </si>
  <si>
    <t>Floredekorasi</t>
  </si>
  <si>
    <t>51</t>
  </si>
  <si>
    <t>Lego Bunga</t>
  </si>
  <si>
    <t xml:space="preserve">Loz Toys </t>
  </si>
  <si>
    <t>52</t>
  </si>
  <si>
    <t>maugrosir</t>
  </si>
  <si>
    <t>53</t>
  </si>
  <si>
    <t>Cermin sisir</t>
  </si>
  <si>
    <t>vacation traveling</t>
  </si>
  <si>
    <t>54</t>
  </si>
  <si>
    <t>Jepit silver + lem</t>
  </si>
  <si>
    <t>Charissa Bali</t>
  </si>
  <si>
    <t>55</t>
  </si>
  <si>
    <t xml:space="preserve">Jepit Kupu </t>
  </si>
  <si>
    <t>Girls Stuff Collection</t>
  </si>
  <si>
    <t>56</t>
  </si>
  <si>
    <t>Plastik</t>
  </si>
  <si>
    <t>snowbelle</t>
  </si>
  <si>
    <t>57</t>
  </si>
  <si>
    <t>Set alat jait dll</t>
  </si>
  <si>
    <t>garments mart</t>
  </si>
  <si>
    <t>58</t>
  </si>
  <si>
    <t>renda renda pink</t>
  </si>
  <si>
    <t>party kingdom</t>
  </si>
  <si>
    <t>59</t>
  </si>
  <si>
    <t xml:space="preserve">Slime kit </t>
  </si>
  <si>
    <t>slime kit</t>
  </si>
  <si>
    <t>60</t>
  </si>
  <si>
    <t>Gelang Kerang</t>
  </si>
  <si>
    <t>Craft Dewata</t>
  </si>
  <si>
    <t>61</t>
  </si>
  <si>
    <t>Print Stiker</t>
  </si>
  <si>
    <t>Bina Jaya</t>
  </si>
  <si>
    <t>62</t>
  </si>
  <si>
    <t>Gelang Couple</t>
  </si>
  <si>
    <t>Lovely Hand Project</t>
  </si>
  <si>
    <t>63</t>
  </si>
  <si>
    <t>Bali Made</t>
  </si>
  <si>
    <t>64</t>
  </si>
  <si>
    <t>Sumbangan Ogoh Ogoh</t>
  </si>
  <si>
    <t>Banjar Gladag, Pande dan Babakan Sari</t>
  </si>
  <si>
    <t>65</t>
  </si>
  <si>
    <t>Team</t>
  </si>
  <si>
    <t xml:space="preserve">Jajanan dll </t>
  </si>
  <si>
    <t>Jajanan dll</t>
  </si>
  <si>
    <t>66</t>
  </si>
  <si>
    <t>67</t>
  </si>
  <si>
    <t>68</t>
  </si>
  <si>
    <t>69</t>
  </si>
  <si>
    <t>FEBRUARI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</si>
  <si>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</si>
  <si>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</si>
  <si>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</si>
  <si>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</si>
  <si>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</si>
  <si>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</si>
  <si>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</si>
  <si>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</si>
  <si>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</si>
  <si>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</si>
  <si>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</si>
  <si>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</si>
  <si>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</si>
  <si>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</si>
  <si>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</si>
  <si>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</si>
  <si>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</si>
  <si>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</si>
  <si>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APRIL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</si>
  <si>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</si>
  <si>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</si>
  <si>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</si>
  <si>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</si>
  <si>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</si>
  <si>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</si>
  <si>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</si>
  <si>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</si>
  <si>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</si>
  <si>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</si>
  <si>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 xml:space="preserve">Gelang Couple </t>
  </si>
  <si>
    <t xml:space="preserve">Lovely Hand Project </t>
  </si>
  <si>
    <t xml:space="preserve">Sumbangan Panti Asuhan </t>
  </si>
  <si>
    <t xml:space="preserve">Sumbangan panti asuhan </t>
  </si>
  <si>
    <t xml:space="preserve">Sumbangan Ogoh Ogoh </t>
  </si>
  <si>
    <t>Sumbangan ogoh ogoh RRJK</t>
  </si>
  <si>
    <t>Print kertas promo</t>
  </si>
  <si>
    <t xml:space="preserve">Foto Copy Bina Jaya </t>
  </si>
  <si>
    <t>Print kertas packing stiker</t>
  </si>
  <si>
    <t xml:space="preserve">Print Medali </t>
  </si>
  <si>
    <t xml:space="preserve">Pajar Maulana Sidik </t>
  </si>
  <si>
    <t xml:space="preserve">Plastik Bungkus Bunga </t>
  </si>
  <si>
    <t xml:space="preserve">Belanja manik dan wrap bunga </t>
  </si>
  <si>
    <t xml:space="preserve">Toko Shalom </t>
  </si>
  <si>
    <t>Beli Pita</t>
  </si>
  <si>
    <t xml:space="preserve">Toko Bagus </t>
  </si>
  <si>
    <t xml:space="preserve">Beli Coklat Valentine </t>
  </si>
  <si>
    <t xml:space="preserve">Arys Bhuana </t>
  </si>
  <si>
    <t xml:space="preserve">Beli Boneka </t>
  </si>
  <si>
    <t>Photo Studio</t>
  </si>
  <si>
    <t>day</t>
  </si>
  <si>
    <t>Tenant pekenan tenten</t>
  </si>
  <si>
    <t xml:space="preserve">Gota Studio </t>
  </si>
  <si>
    <t xml:space="preserve">Makan </t>
  </si>
  <si>
    <t>2 hari</t>
  </si>
  <si>
    <t>Gacoan</t>
  </si>
  <si>
    <t>Plastik Boneka</t>
  </si>
  <si>
    <t>Pande</t>
  </si>
  <si>
    <t xml:space="preserve">Gaji Tenten Salsa </t>
  </si>
  <si>
    <t xml:space="preserve">Mixue </t>
  </si>
  <si>
    <t>3 hari</t>
  </si>
  <si>
    <t>toko 100 + tenten 300</t>
  </si>
  <si>
    <t>Mixue</t>
  </si>
  <si>
    <t xml:space="preserve">Beli boneka dan kaos kaki </t>
  </si>
  <si>
    <t xml:space="preserve">Barang titipan salsa </t>
  </si>
  <si>
    <t>Ganci korea</t>
  </si>
  <si>
    <t xml:space="preserve">Teh Pucuk </t>
  </si>
  <si>
    <t>Susu Outside</t>
  </si>
  <si>
    <t xml:space="preserve">Gelang Premium </t>
  </si>
  <si>
    <t xml:space="preserve">Carmen Girl Fashion </t>
  </si>
  <si>
    <t xml:space="preserve">Bunga Pot Kawat Bulu </t>
  </si>
  <si>
    <t>Ganci boneka bulu</t>
  </si>
  <si>
    <t>averylbc,id</t>
  </si>
  <si>
    <t xml:space="preserve">Anting dan kalung mata </t>
  </si>
  <si>
    <t>CV. Satria Iman Pemenang</t>
  </si>
  <si>
    <t>Bocyn Bag</t>
  </si>
  <si>
    <t>Kain Pantai</t>
  </si>
  <si>
    <t xml:space="preserve">Manik Tulip </t>
  </si>
  <si>
    <t>Joy Victoria Sejahtera</t>
  </si>
  <si>
    <t xml:space="preserve">Anda Diy Toko </t>
  </si>
  <si>
    <t xml:space="preserve">Bag Charm </t>
  </si>
  <si>
    <t>Art Paper</t>
  </si>
  <si>
    <t>Colarist_id</t>
  </si>
  <si>
    <t xml:space="preserve">Botol Pastel </t>
  </si>
  <si>
    <t>Jepit Jepun</t>
  </si>
  <si>
    <t xml:space="preserve">Mamaya </t>
  </si>
  <si>
    <t xml:space="preserve">Dlatos Store </t>
  </si>
  <si>
    <t>Pasar Badung</t>
  </si>
  <si>
    <t>Clay</t>
  </si>
  <si>
    <t xml:space="preserve">Hugostoy bali </t>
  </si>
  <si>
    <t>Bunga kawat bulu</t>
  </si>
  <si>
    <t>Gemmar Collection</t>
  </si>
  <si>
    <t xml:space="preserve">Puffy Bag Big </t>
  </si>
  <si>
    <t>Manik manik dll</t>
  </si>
  <si>
    <t>mammy key bag</t>
  </si>
  <si>
    <t>Sarung pantai</t>
  </si>
  <si>
    <t>Lampu LED</t>
  </si>
  <si>
    <t>Partykingdom</t>
  </si>
  <si>
    <t>Head band</t>
  </si>
  <si>
    <t>CE ES Olshop</t>
  </si>
  <si>
    <t xml:space="preserve">Pengharum ruangan </t>
  </si>
  <si>
    <t xml:space="preserve">vita cosmetics bali </t>
  </si>
  <si>
    <t>Sumbangan kampus dayu</t>
  </si>
  <si>
    <t xml:space="preserve">Boneka beruang  mini </t>
  </si>
  <si>
    <t xml:space="preserve">ananta ws </t>
  </si>
  <si>
    <t>Undiksa</t>
  </si>
  <si>
    <t>Bunga mawar LED</t>
  </si>
  <si>
    <t>Plastik bening</t>
  </si>
  <si>
    <t>Kilau Plastik Bali</t>
  </si>
  <si>
    <t xml:space="preserve">Box Packing </t>
  </si>
  <si>
    <t>Bunga anggrek</t>
  </si>
  <si>
    <t>Dbox</t>
  </si>
  <si>
    <t>Bando Pastel</t>
  </si>
  <si>
    <t xml:space="preserve">Herman Collection </t>
  </si>
  <si>
    <t xml:space="preserve">Plastik packing </t>
  </si>
  <si>
    <t>Kaitan dan rantai</t>
  </si>
  <si>
    <t>Snowbellee</t>
  </si>
  <si>
    <t>tokoduniamonte</t>
  </si>
  <si>
    <t xml:space="preserve">One stop Party </t>
  </si>
  <si>
    <t xml:space="preserve">Dompet Premium </t>
  </si>
  <si>
    <t>Blutuye Supplier</t>
  </si>
  <si>
    <t>giantshop</t>
  </si>
  <si>
    <t>Gantungan lonceng</t>
  </si>
  <si>
    <t>kalung bintang batu alam</t>
  </si>
  <si>
    <t>moving onn</t>
  </si>
  <si>
    <t>Ok Ok Ok</t>
  </si>
  <si>
    <t>jepit jepun</t>
  </si>
  <si>
    <t>Diamond Painting</t>
  </si>
  <si>
    <t>Fic Storee</t>
  </si>
  <si>
    <t xml:space="preserve">spons make up </t>
  </si>
  <si>
    <t xml:space="preserve">ayok belanja smart </t>
  </si>
  <si>
    <t>ganci couple</t>
  </si>
  <si>
    <t>Ue Nak</t>
  </si>
  <si>
    <t>murmure</t>
  </si>
  <si>
    <t>Catokan Mini</t>
  </si>
  <si>
    <t xml:space="preserve">ganci couple magnet </t>
  </si>
  <si>
    <t>KeiKei Shop</t>
  </si>
  <si>
    <t>kitamura</t>
  </si>
  <si>
    <t>Plastik putih medium</t>
  </si>
  <si>
    <t>kokot udang</t>
  </si>
  <si>
    <t>tokoplast</t>
  </si>
  <si>
    <t xml:space="preserve">Dompet pvc glitter </t>
  </si>
  <si>
    <t>miniwalet store</t>
  </si>
  <si>
    <t>Cute D</t>
  </si>
  <si>
    <t>buket kupu led</t>
  </si>
  <si>
    <t>AZHOPDASTER</t>
  </si>
  <si>
    <t>helio stitch</t>
  </si>
  <si>
    <t>kerudungsalmah</t>
  </si>
  <si>
    <t>roll rambut</t>
  </si>
  <si>
    <t>Painting Number</t>
  </si>
  <si>
    <t>lemovita</t>
  </si>
  <si>
    <t>wrap dan kawat bulu</t>
  </si>
  <si>
    <t>Loz Toys Official Store</t>
  </si>
  <si>
    <t>pernak pernik surabaya</t>
  </si>
  <si>
    <t>Ganci Dompet Bulu</t>
  </si>
  <si>
    <t>coklat valentine</t>
  </si>
  <si>
    <t>KIKIDO</t>
  </si>
  <si>
    <t>warung online albi</t>
  </si>
  <si>
    <t>Rumah Rajut 28</t>
  </si>
  <si>
    <t>Aimilo</t>
  </si>
  <si>
    <t>Shopetvee Material</t>
  </si>
  <si>
    <t>Helio stitch</t>
  </si>
  <si>
    <t>XO Ace Cute Staff</t>
  </si>
  <si>
    <t>Ganci</t>
  </si>
  <si>
    <t>Nadeldza</t>
  </si>
  <si>
    <t>Hallo Shops</t>
  </si>
  <si>
    <t>bunga led</t>
  </si>
  <si>
    <t>Manik dan Tang</t>
  </si>
  <si>
    <t>baenanastore</t>
  </si>
  <si>
    <t>joy in life</t>
  </si>
  <si>
    <t>Toko Satria Setiabudi</t>
  </si>
  <si>
    <t xml:space="preserve">buket kupu </t>
  </si>
  <si>
    <t>Ganci Boneka Rajut</t>
  </si>
  <si>
    <t>punnyscarf</t>
  </si>
  <si>
    <t>flobyell</t>
  </si>
  <si>
    <t>Jepit Kupu Dll</t>
  </si>
  <si>
    <t>Display gelang</t>
  </si>
  <si>
    <t>Girl Stuff Collection</t>
  </si>
  <si>
    <t>Pusat Hangers Bali</t>
  </si>
  <si>
    <t>Ganci tulip kawat bulu</t>
  </si>
  <si>
    <t>shallots</t>
  </si>
  <si>
    <t>Press on nails</t>
  </si>
  <si>
    <t>Jepit bintang dll</t>
  </si>
  <si>
    <t>cvpshop</t>
  </si>
  <si>
    <t>display</t>
  </si>
  <si>
    <t>murmure id official</t>
  </si>
  <si>
    <t>Markas Barang</t>
  </si>
  <si>
    <t>kawat bulu</t>
  </si>
  <si>
    <t>movin on</t>
  </si>
  <si>
    <t>Ganci rajut</t>
  </si>
  <si>
    <t>Oura Accesories</t>
  </si>
  <si>
    <t>Jepit jepun</t>
  </si>
  <si>
    <t>Gelang Premium</t>
  </si>
  <si>
    <t>Carmen Girl Fashion</t>
  </si>
  <si>
    <t>Jeday</t>
  </si>
  <si>
    <t>Plastik Lubang</t>
  </si>
  <si>
    <t>originalshop bkk</t>
  </si>
  <si>
    <t>Tumbler stanley</t>
  </si>
  <si>
    <t>Sisir dll</t>
  </si>
  <si>
    <t>KKUMSHOPID</t>
  </si>
  <si>
    <t>Vacation Traveling</t>
  </si>
  <si>
    <t>Botol Pastel</t>
  </si>
  <si>
    <t>Gelang pandora</t>
  </si>
  <si>
    <t>masker murah surabaya</t>
  </si>
  <si>
    <t>Jepit kotak glitter</t>
  </si>
  <si>
    <t>kalung bintang serut</t>
  </si>
  <si>
    <t>Quality Store Acc</t>
  </si>
  <si>
    <t>Sjj titanium</t>
  </si>
  <si>
    <t>Delima merah</t>
  </si>
  <si>
    <t>Aning kundangan</t>
  </si>
  <si>
    <t>Jerry toko</t>
  </si>
  <si>
    <t>Medali</t>
  </si>
  <si>
    <t>Swoody project</t>
  </si>
  <si>
    <t>Moiblooms</t>
  </si>
  <si>
    <t>Bando</t>
  </si>
  <si>
    <t>Hermancollection</t>
  </si>
  <si>
    <t>Tali senar</t>
  </si>
  <si>
    <t>Tk Charissa Bali</t>
  </si>
  <si>
    <t>Ce es olshop</t>
  </si>
  <si>
    <t>malika bando</t>
  </si>
  <si>
    <t>Besi Ram</t>
  </si>
  <si>
    <t>Online 1D</t>
  </si>
  <si>
    <t>Kuku palsu</t>
  </si>
  <si>
    <t>Scrunchies</t>
  </si>
  <si>
    <t>clay dll</t>
  </si>
  <si>
    <t>Hugopstoybali</t>
  </si>
  <si>
    <t>Container</t>
  </si>
  <si>
    <t>Mulia grosir</t>
  </si>
  <si>
    <t>Floybyell</t>
  </si>
  <si>
    <t>rujak dll</t>
  </si>
  <si>
    <t>MEI</t>
  </si>
  <si>
    <t xml:space="preserve">Rajutan Rani </t>
  </si>
  <si>
    <t>Kipas Portable dll</t>
  </si>
  <si>
    <t>Import Murah</t>
  </si>
  <si>
    <t>civeto store</t>
  </si>
  <si>
    <t>Karet Tabung dll</t>
  </si>
  <si>
    <t>For Angel Jkt</t>
  </si>
  <si>
    <t>AIMILO Official Shop</t>
  </si>
  <si>
    <t xml:space="preserve">Painting number </t>
  </si>
  <si>
    <t>LOZ TOYS</t>
  </si>
  <si>
    <t>Tempat parfum travel</t>
  </si>
  <si>
    <t>Lem Tembak dll</t>
  </si>
  <si>
    <t>Tk Charissa</t>
  </si>
  <si>
    <t>Pengait gelang</t>
  </si>
  <si>
    <t>toko dunia monte</t>
  </si>
  <si>
    <t>Cincin Premium</t>
  </si>
  <si>
    <t>Ohellow Studio</t>
  </si>
  <si>
    <t>Kalung Bintang Serut</t>
  </si>
  <si>
    <t>SJJ TITANIUM</t>
  </si>
  <si>
    <t xml:space="preserve">Tas Rajut Mini </t>
  </si>
  <si>
    <t>Senja by Asta</t>
  </si>
  <si>
    <t xml:space="preserve">Celana Kulot Gajah </t>
  </si>
  <si>
    <t>Jeny Bali</t>
  </si>
  <si>
    <t xml:space="preserve">Ganci Dompet Boneka </t>
  </si>
  <si>
    <t>XO Ace Cute Stuff</t>
  </si>
  <si>
    <t xml:space="preserve">Ganci Boneka Bulu </t>
  </si>
  <si>
    <t>Fun Shop</t>
  </si>
  <si>
    <t>Tempat Hand Sanitizer</t>
  </si>
  <si>
    <t>Kidei Official Store</t>
  </si>
  <si>
    <t>Ganci Huruf</t>
  </si>
  <si>
    <t>This is Lubi</t>
  </si>
  <si>
    <t>Tumbr OHO</t>
  </si>
  <si>
    <t>GGJ GROUP</t>
  </si>
  <si>
    <t>Slime Kit</t>
  </si>
  <si>
    <t>Panda Good</t>
  </si>
  <si>
    <t>mamaya</t>
  </si>
  <si>
    <t>Bunga Vrisca</t>
  </si>
  <si>
    <t xml:space="preserve">Bunga Vrisca </t>
  </si>
  <si>
    <t xml:space="preserve">Ganesha </t>
  </si>
  <si>
    <t xml:space="preserve">Tenant Ganesha </t>
  </si>
  <si>
    <t xml:space="preserve">Merchandise Ganesha </t>
  </si>
  <si>
    <t xml:space="preserve">Makan di ganesha </t>
  </si>
  <si>
    <t xml:space="preserve">Uang makan </t>
  </si>
  <si>
    <t xml:space="preserve">Gaji Jaga di Ganesha </t>
  </si>
  <si>
    <t>Dayu pradnya</t>
  </si>
  <si>
    <t xml:space="preserve">Bunga Kawat </t>
  </si>
  <si>
    <t>Wulan Prasanti</t>
  </si>
  <si>
    <t xml:space="preserve">Gelang couple </t>
  </si>
  <si>
    <t>Lovely hand project</t>
  </si>
  <si>
    <t xml:space="preserve">Jepit jepun </t>
  </si>
  <si>
    <t>Mamaya</t>
  </si>
  <si>
    <t xml:space="preserve">Celana Gajah </t>
  </si>
  <si>
    <t>NKSHOP</t>
  </si>
  <si>
    <t>IFTAH</t>
  </si>
  <si>
    <t>shopee inka</t>
  </si>
  <si>
    <t>KUE</t>
  </si>
  <si>
    <t>Kue raditya</t>
  </si>
  <si>
    <t xml:space="preserve">Parfum ruangan </t>
  </si>
  <si>
    <t>Amigo</t>
  </si>
  <si>
    <t>Makan team</t>
  </si>
  <si>
    <t>Anniv glicatch</t>
  </si>
  <si>
    <t xml:space="preserve">Manik manik </t>
  </si>
  <si>
    <t>Toko Satria</t>
  </si>
  <si>
    <t xml:space="preserve">Plastik bunga </t>
  </si>
  <si>
    <t xml:space="preserve">Kertas dan stiker </t>
  </si>
  <si>
    <t xml:space="preserve">Tempat Bunga dan Nampan </t>
  </si>
  <si>
    <t>Energi Grosir</t>
  </si>
  <si>
    <t xml:space="preserve">Print kertas packing </t>
  </si>
  <si>
    <t>Boneka</t>
  </si>
  <si>
    <t>Permen Chupa cups</t>
  </si>
  <si>
    <t>Mamak</t>
  </si>
  <si>
    <t xml:space="preserve">Plastik </t>
  </si>
  <si>
    <t>Aneka Guna Plastik</t>
  </si>
  <si>
    <t>Foto</t>
  </si>
  <si>
    <t>Umemo Studio</t>
  </si>
  <si>
    <t>TSM</t>
  </si>
  <si>
    <t xml:space="preserve">BN Plastik </t>
  </si>
  <si>
    <t>Ganci Strap</t>
  </si>
  <si>
    <t xml:space="preserve">Misaki Official Indonesia </t>
  </si>
  <si>
    <t xml:space="preserve">Kutek </t>
  </si>
  <si>
    <t>Brasov Official Shop</t>
  </si>
  <si>
    <t>GRIESA</t>
  </si>
  <si>
    <t>Plastik wrap bunga</t>
  </si>
  <si>
    <t>Supplier Florist Surabaya</t>
  </si>
  <si>
    <t>Tas Rajut</t>
  </si>
  <si>
    <t>Cloudy Crochet</t>
  </si>
  <si>
    <t>Rak RAM</t>
  </si>
  <si>
    <t>Online.1D</t>
  </si>
  <si>
    <t xml:space="preserve">Hugostoybali </t>
  </si>
  <si>
    <t>Bag charm</t>
  </si>
  <si>
    <t xml:space="preserve">Bulu mata palsu dan lem </t>
  </si>
  <si>
    <t>Kotak P3k</t>
  </si>
  <si>
    <t>Revinit Medical</t>
  </si>
  <si>
    <t xml:space="preserve">Bunga anggrek </t>
  </si>
  <si>
    <t xml:space="preserve">Gantungan </t>
  </si>
  <si>
    <t>Nekoda Official Store</t>
  </si>
  <si>
    <t xml:space="preserve">Hand sanitizer </t>
  </si>
  <si>
    <t xml:space="preserve">Purelizer </t>
  </si>
  <si>
    <t>Hadiah ulang tahun team</t>
  </si>
  <si>
    <t>Muti Melia</t>
  </si>
  <si>
    <t>Akrilik foto</t>
  </si>
  <si>
    <t>Kantor Rainbow</t>
  </si>
  <si>
    <t>Gantungan Kunci</t>
  </si>
  <si>
    <t>Rimberio Toko</t>
  </si>
  <si>
    <t>Toper bunga</t>
  </si>
  <si>
    <t>Bantalgift</t>
  </si>
  <si>
    <t xml:space="preserve">Hairnet </t>
  </si>
  <si>
    <t>TOP TOK OUTLETS</t>
  </si>
  <si>
    <t xml:space="preserve">Tas </t>
  </si>
  <si>
    <t xml:space="preserve">Anting </t>
  </si>
  <si>
    <t xml:space="preserve">Giri Grosir </t>
  </si>
  <si>
    <t xml:space="preserve">Buket bunga mini </t>
  </si>
  <si>
    <t xml:space="preserve">Sean co </t>
  </si>
  <si>
    <t>Celan kulot</t>
  </si>
  <si>
    <t>Syauqibatik jogja</t>
  </si>
  <si>
    <t>Stoper dan Plastik</t>
  </si>
  <si>
    <t>Rumah stopper dan plastik</t>
  </si>
  <si>
    <t xml:space="preserve">Buket bunga </t>
  </si>
  <si>
    <t>Pujibuket</t>
  </si>
  <si>
    <t>Syafina</t>
  </si>
  <si>
    <t>Katik bunga</t>
  </si>
  <si>
    <t>Florist room bali</t>
  </si>
  <si>
    <t>Balon</t>
  </si>
  <si>
    <t xml:space="preserve">Party things bali </t>
  </si>
  <si>
    <t xml:space="preserve">Bunga </t>
  </si>
  <si>
    <t>Baju team</t>
  </si>
  <si>
    <t>Localprint bali</t>
  </si>
  <si>
    <t>Sabun travel</t>
  </si>
  <si>
    <t>Tumbler OHO</t>
  </si>
  <si>
    <t xml:space="preserve">Grosir Serba Ada Store </t>
  </si>
  <si>
    <t>Gelang titanium</t>
  </si>
  <si>
    <t>Hlshop</t>
  </si>
  <si>
    <t>Smile Girl Official Store</t>
  </si>
  <si>
    <t>Bag  charm huruf</t>
  </si>
  <si>
    <t>Rifaags</t>
  </si>
  <si>
    <t>Jepit Pita</t>
  </si>
  <si>
    <t>Malikabando</t>
  </si>
  <si>
    <t xml:space="preserve">Jepit bebek dll </t>
  </si>
  <si>
    <t xml:space="preserve">Scrunchie </t>
  </si>
  <si>
    <t>Cloopy</t>
  </si>
  <si>
    <t>buket bungamini</t>
  </si>
  <si>
    <t>plastik bening</t>
  </si>
  <si>
    <t xml:space="preserve">kilau plastik bali </t>
  </si>
  <si>
    <t>ganci boneka rajut</t>
  </si>
  <si>
    <t xml:space="preserve">Bando </t>
  </si>
  <si>
    <t>hermancollection</t>
  </si>
  <si>
    <t>plastik opp</t>
  </si>
  <si>
    <t>plastik opp berlian</t>
  </si>
  <si>
    <t>baju team warna orange</t>
  </si>
  <si>
    <t>jepit anak</t>
  </si>
  <si>
    <t>27an id</t>
  </si>
  <si>
    <t>bag charm huruf</t>
  </si>
  <si>
    <t>rifaags</t>
  </si>
  <si>
    <t>bunga</t>
  </si>
  <si>
    <t>plastik</t>
  </si>
  <si>
    <t>plastikolshopmurah</t>
  </si>
  <si>
    <t>dompet</t>
  </si>
  <si>
    <t>smile goddes</t>
  </si>
  <si>
    <t>jepit kupu</t>
  </si>
  <si>
    <t>girl stuff collection</t>
  </si>
  <si>
    <t>AGUSTUS</t>
  </si>
  <si>
    <t>Iklan</t>
  </si>
  <si>
    <t>Ads</t>
  </si>
  <si>
    <t xml:space="preserve">Sp kur </t>
  </si>
  <si>
    <t xml:space="preserve">Bunga Rani </t>
  </si>
  <si>
    <t>Rani</t>
  </si>
  <si>
    <t>Kertas</t>
  </si>
  <si>
    <t>kertas</t>
  </si>
  <si>
    <t>gelang couple</t>
  </si>
  <si>
    <t>lovelyhand project</t>
  </si>
  <si>
    <t>gelang kerang</t>
  </si>
  <si>
    <t>craft dewata</t>
  </si>
  <si>
    <t>alat tulis</t>
  </si>
  <si>
    <t>global</t>
  </si>
  <si>
    <t xml:space="preserve">bagcharm huruf </t>
  </si>
  <si>
    <t>This is luby</t>
  </si>
  <si>
    <t>Tali dan huruf</t>
  </si>
  <si>
    <t>brozetta</t>
  </si>
  <si>
    <t>JULY</t>
  </si>
  <si>
    <t>gelang fairy</t>
  </si>
  <si>
    <t>Fairytale acc</t>
  </si>
  <si>
    <t>sulihtia</t>
  </si>
  <si>
    <t>paperbag</t>
  </si>
  <si>
    <t>Kain pantai</t>
  </si>
  <si>
    <t>Griesa</t>
  </si>
  <si>
    <t>bando 17</t>
  </si>
  <si>
    <t>Redshaf</t>
  </si>
  <si>
    <t xml:space="preserve">Jeday Kotak Gliter </t>
  </si>
  <si>
    <t xml:space="preserve">Quality Store </t>
  </si>
  <si>
    <t>Kalung bintang batu alam</t>
  </si>
  <si>
    <t>moving on</t>
  </si>
  <si>
    <t>Anting kundangan</t>
  </si>
  <si>
    <t>Jerry Toko</t>
  </si>
  <si>
    <t>scrunchie</t>
  </si>
  <si>
    <t>Ganci pelangi</t>
  </si>
  <si>
    <t xml:space="preserve">Colarist id </t>
  </si>
  <si>
    <t xml:space="preserve">Ganci bunga daisy </t>
  </si>
  <si>
    <t>bahan craft murah blitar</t>
  </si>
  <si>
    <t xml:space="preserve">Ganci anggrek  </t>
  </si>
  <si>
    <t xml:space="preserve">Die Blume Studio </t>
  </si>
  <si>
    <t>Blind Bag</t>
  </si>
  <si>
    <t xml:space="preserve">nanabakehouse </t>
  </si>
  <si>
    <t xml:space="preserve">Sisir Anak </t>
  </si>
  <si>
    <t xml:space="preserve">Kidei Official Store </t>
  </si>
  <si>
    <t xml:space="preserve">paket </t>
  </si>
  <si>
    <t xml:space="preserve">Kawat Bulu </t>
  </si>
  <si>
    <t>Pernak Pernik Surabaya</t>
  </si>
  <si>
    <t xml:space="preserve">Ganci Strap </t>
  </si>
  <si>
    <t>Cincin</t>
  </si>
  <si>
    <t>Kalung mata</t>
  </si>
  <si>
    <t xml:space="preserve">Gelang Kerang Manik </t>
  </si>
  <si>
    <t xml:space="preserve">Botol Minum Plastik </t>
  </si>
  <si>
    <t xml:space="preserve">plannetventus </t>
  </si>
  <si>
    <t>Jepit Kerang</t>
  </si>
  <si>
    <t>Molfine Official Store</t>
  </si>
  <si>
    <t xml:space="preserve">Ganci Tisu </t>
  </si>
  <si>
    <t xml:space="preserve">Pet Treasure </t>
  </si>
  <si>
    <t>Kacamata</t>
  </si>
  <si>
    <t xml:space="preserve">Cute Baby House </t>
  </si>
  <si>
    <t>Maciko idn</t>
  </si>
  <si>
    <t>Plastik Opp</t>
  </si>
  <si>
    <t>Warmadewa</t>
  </si>
  <si>
    <t>Roll Rambut</t>
  </si>
  <si>
    <t>Tenant Warmadewa</t>
  </si>
  <si>
    <t>Grosir Official Shop</t>
  </si>
  <si>
    <t>Bunga kawat</t>
  </si>
  <si>
    <t>Sweet Bloom</t>
  </si>
  <si>
    <t>Dompet mini</t>
  </si>
  <si>
    <t>Gaji Warmadewa</t>
  </si>
  <si>
    <t>Smile Goddess</t>
  </si>
  <si>
    <t>Dayu, Salsa, Muti</t>
  </si>
  <si>
    <t>Jepit bebek dll</t>
  </si>
  <si>
    <t>Jepit Poni anti lepek</t>
  </si>
  <si>
    <t>Popa Pack</t>
  </si>
  <si>
    <t>kalung panjang</t>
  </si>
  <si>
    <t>Ig ads</t>
  </si>
  <si>
    <t>puer acc</t>
  </si>
  <si>
    <t xml:space="preserve">Kertas print kasir </t>
  </si>
  <si>
    <t xml:space="preserve">sp kur </t>
  </si>
  <si>
    <t>supermassive</t>
  </si>
  <si>
    <t>Inka</t>
  </si>
  <si>
    <t>Print</t>
  </si>
  <si>
    <t>Bayar tenant CFD 2 bulan</t>
  </si>
  <si>
    <t>Bina Jaya Foto Copy</t>
  </si>
  <si>
    <t>Deta</t>
  </si>
  <si>
    <t>Days Parfum</t>
  </si>
  <si>
    <t>Tisu</t>
  </si>
  <si>
    <t xml:space="preserve">WM </t>
  </si>
  <si>
    <t>Rajutan</t>
  </si>
  <si>
    <t>Vrisca</t>
  </si>
  <si>
    <t xml:space="preserve">Jepit bebek </t>
  </si>
  <si>
    <t>jepit bunga</t>
  </si>
  <si>
    <t>Red Ceri Acc</t>
  </si>
  <si>
    <t>Jepit, dan cermin</t>
  </si>
  <si>
    <t xml:space="preserve">rantai dan lain </t>
  </si>
  <si>
    <t>jepit</t>
  </si>
  <si>
    <t>manik bahan</t>
  </si>
  <si>
    <t>Anda Diy Toko</t>
  </si>
  <si>
    <t>kain pantai</t>
  </si>
  <si>
    <t>Jadi sumber</t>
  </si>
  <si>
    <t>Bintang kecil diamond painting</t>
  </si>
  <si>
    <t xml:space="preserve">QUAFF Indonesia </t>
  </si>
  <si>
    <t xml:space="preserve">bantal penghangat </t>
  </si>
  <si>
    <t>Keset Anti Slip Mainan Sofa BB</t>
  </si>
  <si>
    <t>Carmen Girl Fashion Aksesoris</t>
  </si>
  <si>
    <t xml:space="preserve">Kalung bintang </t>
  </si>
  <si>
    <t>Moving onn</t>
  </si>
  <si>
    <t xml:space="preserve">Earphone dan case </t>
  </si>
  <si>
    <t xml:space="preserve">Gotrays Factory Outlet </t>
  </si>
  <si>
    <t>originshop bkk</t>
  </si>
  <si>
    <t>kawat bulu dll</t>
  </si>
  <si>
    <t xml:space="preserve">Catokan mini </t>
  </si>
  <si>
    <t xml:space="preserve">Ce es Olshop </t>
  </si>
  <si>
    <t>Lego</t>
  </si>
  <si>
    <t xml:space="preserve">Bliss Toys </t>
  </si>
  <si>
    <t>cloopy id</t>
  </si>
  <si>
    <t xml:space="preserve">pelindung charger </t>
  </si>
  <si>
    <t xml:space="preserve">Merah dost official shop </t>
  </si>
  <si>
    <t>Jam Tangan</t>
  </si>
  <si>
    <t>JamTang Watch Shop</t>
  </si>
  <si>
    <t>Hadiah erni ultah</t>
  </si>
  <si>
    <t>Gurlbucket</t>
  </si>
  <si>
    <t xml:space="preserve">Gelang manik serut </t>
  </si>
  <si>
    <t>Fairytale Acc</t>
  </si>
  <si>
    <t>Kipas Portable</t>
  </si>
  <si>
    <t>Kfvonardo</t>
  </si>
  <si>
    <t xml:space="preserve">Label </t>
  </si>
  <si>
    <t>GarmentMarts</t>
  </si>
  <si>
    <t>Gelang kerang serut</t>
  </si>
  <si>
    <t>Sulihtiaa</t>
  </si>
  <si>
    <t>Aset Toko</t>
  </si>
  <si>
    <t>Rak kaca 7 tingkat</t>
  </si>
  <si>
    <t>nipponshop</t>
  </si>
  <si>
    <t>Cermin lipat</t>
  </si>
  <si>
    <t xml:space="preserve">Grosir Official Shop </t>
  </si>
  <si>
    <t>ashiyajewellry</t>
  </si>
  <si>
    <t>kalung hati</t>
  </si>
  <si>
    <t>RAsberries</t>
  </si>
  <si>
    <t>kotak pensil dll</t>
  </si>
  <si>
    <t xml:space="preserve">pengait dll </t>
  </si>
  <si>
    <t xml:space="preserve">jepit jepun </t>
  </si>
  <si>
    <t>press on nails</t>
  </si>
  <si>
    <t>Fairynail Tale</t>
  </si>
  <si>
    <t>Notebook dll</t>
  </si>
  <si>
    <t>AIMILO</t>
  </si>
  <si>
    <t xml:space="preserve">Jeday bangkok </t>
  </si>
  <si>
    <t>Declip Jeday</t>
  </si>
  <si>
    <t xml:space="preserve">Toko shalom </t>
  </si>
  <si>
    <t>Rak akrilik 7 tingkat</t>
  </si>
  <si>
    <t>Ganci Rajut</t>
  </si>
  <si>
    <t>Powerbank</t>
  </si>
  <si>
    <t>_zx3t2kidp</t>
  </si>
  <si>
    <t xml:space="preserve">gelang kerang manik </t>
  </si>
  <si>
    <t>Rak susun putih</t>
  </si>
  <si>
    <t>BARMAG Official Store</t>
  </si>
  <si>
    <t>Tempat press on nails</t>
  </si>
  <si>
    <t>henna instant id</t>
  </si>
  <si>
    <t>BKT Wholesale</t>
  </si>
  <si>
    <t>Printer lable</t>
  </si>
  <si>
    <t>kiswara surabaya</t>
  </si>
  <si>
    <t>Pengait besi</t>
  </si>
  <si>
    <t>IKEO</t>
  </si>
  <si>
    <t>Tempat HP</t>
  </si>
  <si>
    <t>ibuy store</t>
  </si>
  <si>
    <t>Plastik Olshop Murah</t>
  </si>
  <si>
    <t>Plastik bungkus bunga</t>
  </si>
  <si>
    <t>floristroombali</t>
  </si>
  <si>
    <t>pengait</t>
  </si>
  <si>
    <t>Seller Termurah Terpercaya</t>
  </si>
  <si>
    <t>jepit bebek capybara</t>
  </si>
  <si>
    <t>iklan</t>
  </si>
  <si>
    <t>SEPTEMBER</t>
  </si>
  <si>
    <t xml:space="preserve">Pembayaran tenant pegok </t>
  </si>
  <si>
    <t>hari</t>
  </si>
  <si>
    <t xml:space="preserve">bapak ilmi </t>
  </si>
  <si>
    <t xml:space="preserve">Jepit Jepun Rantai </t>
  </si>
  <si>
    <t>Kalung hati</t>
  </si>
  <si>
    <t>Rasberries</t>
  </si>
  <si>
    <t>Ganci Naga</t>
  </si>
  <si>
    <t>Misaki Official Indonesia</t>
  </si>
  <si>
    <t>Anting bunga dan kundangan</t>
  </si>
  <si>
    <t>Fashioniesta</t>
  </si>
  <si>
    <t xml:space="preserve">Ganci Magnet Couple </t>
  </si>
  <si>
    <t>Kitamura</t>
  </si>
  <si>
    <t>Ganci Loopy</t>
  </si>
  <si>
    <t>Toys Town Indonesia</t>
  </si>
  <si>
    <t>Blind Pouch</t>
  </si>
  <si>
    <t>DDA DDA</t>
  </si>
  <si>
    <t>Ganci Couple Suara</t>
  </si>
  <si>
    <t>Toyebay</t>
  </si>
  <si>
    <t>Ganci Couple menyala</t>
  </si>
  <si>
    <t>Coco Nook</t>
  </si>
  <si>
    <t>Bag Charm Anggrek</t>
  </si>
  <si>
    <t>Die Blume Studio</t>
  </si>
  <si>
    <t>Jepit Bintang</t>
  </si>
  <si>
    <t>Toko Jamin Murah Official Shop</t>
  </si>
  <si>
    <t>Case HP</t>
  </si>
  <si>
    <t>LZ case</t>
  </si>
  <si>
    <t>Soulgoodscase</t>
  </si>
  <si>
    <t>OkOkOk</t>
  </si>
  <si>
    <t>Slayer</t>
  </si>
  <si>
    <t>Dream Reacher</t>
  </si>
  <si>
    <t>Botol Minum</t>
  </si>
  <si>
    <t>Slayer leopard</t>
  </si>
  <si>
    <t>Indie_Concept</t>
  </si>
  <si>
    <t>Jepit bebek</t>
  </si>
  <si>
    <t>Kidstops</t>
  </si>
  <si>
    <t>kaitan gelang manik</t>
  </si>
  <si>
    <t xml:space="preserve">Gelang kerang serut manik </t>
  </si>
  <si>
    <t>Fairtale acc</t>
  </si>
  <si>
    <t>Onlineshopeterpercaya</t>
  </si>
  <si>
    <t>Pernak pernik surabaya</t>
  </si>
  <si>
    <t xml:space="preserve">Hair net </t>
  </si>
  <si>
    <t>Top tok outlet</t>
  </si>
  <si>
    <t>Hadiah ulang tahun</t>
  </si>
  <si>
    <t>Delvin acc</t>
  </si>
  <si>
    <t>Photocard Case</t>
  </si>
  <si>
    <t>kusbmmi</t>
  </si>
  <si>
    <t>kartu ucapan</t>
  </si>
  <si>
    <t>Superkawaii stationery</t>
  </si>
  <si>
    <t>kaca mata</t>
  </si>
  <si>
    <t>Wonderfull glasses</t>
  </si>
  <si>
    <t>Pembayaran bunga rani</t>
  </si>
  <si>
    <t>rani</t>
  </si>
  <si>
    <t>pembelian kue ilmi</t>
  </si>
  <si>
    <t xml:space="preserve">conato </t>
  </si>
  <si>
    <t>Banten</t>
  </si>
  <si>
    <t>banten</t>
  </si>
  <si>
    <t>keset dan keranjang</t>
  </si>
  <si>
    <t>synergy</t>
  </si>
  <si>
    <t>banten pagerwesi</t>
  </si>
  <si>
    <t>pembayaran bunga yuni</t>
  </si>
  <si>
    <t>yuni</t>
  </si>
  <si>
    <t>OKTOBER</t>
  </si>
  <si>
    <t xml:space="preserve">Pembayaran nails </t>
  </si>
  <si>
    <t>pcs</t>
  </si>
  <si>
    <t>septi</t>
  </si>
  <si>
    <t>Pembayaran gelang suliyasa</t>
  </si>
  <si>
    <t>suliyasa</t>
  </si>
  <si>
    <t xml:space="preserve">Pembayaran bunga kawat </t>
  </si>
  <si>
    <t>vrisca</t>
  </si>
  <si>
    <t xml:space="preserve">Pembayaran Rajutan </t>
  </si>
  <si>
    <t>Pembelian bunga kawat adit</t>
  </si>
  <si>
    <t>adit</t>
  </si>
  <si>
    <t>Manik satria</t>
  </si>
  <si>
    <t>toko satria</t>
  </si>
  <si>
    <t>Pembelian gelang couple</t>
  </si>
  <si>
    <t>lovely</t>
  </si>
  <si>
    <t>Bunga matahari</t>
  </si>
  <si>
    <t>orrisbloom</t>
  </si>
  <si>
    <t>gelang kerang manik serut</t>
  </si>
  <si>
    <t>lingkar teman</t>
  </si>
  <si>
    <t xml:space="preserve">kipas angin </t>
  </si>
  <si>
    <t>baliso</t>
  </si>
  <si>
    <t>cincin premium</t>
  </si>
  <si>
    <t>Fanyee</t>
  </si>
  <si>
    <t>Plastik OPP</t>
  </si>
  <si>
    <t>Ganci daisy</t>
  </si>
  <si>
    <t>bahan craft blitar</t>
  </si>
  <si>
    <t xml:space="preserve">Bag charm huruf </t>
  </si>
  <si>
    <t>Ndel</t>
  </si>
  <si>
    <t>Oura</t>
  </si>
  <si>
    <t>Sisir cermin</t>
  </si>
  <si>
    <t>Tempat nails</t>
  </si>
  <si>
    <t>henna</t>
  </si>
  <si>
    <t>charm gelang</t>
  </si>
  <si>
    <t>Jojo DIY</t>
  </si>
  <si>
    <t>beads</t>
  </si>
  <si>
    <t>chingu</t>
  </si>
  <si>
    <t>manik</t>
  </si>
  <si>
    <t>anda diy</t>
  </si>
  <si>
    <t>slayer</t>
  </si>
  <si>
    <t xml:space="preserve">dream cather </t>
  </si>
  <si>
    <t>tang potong</t>
  </si>
  <si>
    <t>sinar asri bali</t>
  </si>
  <si>
    <t xml:space="preserve">jepit roll </t>
  </si>
  <si>
    <t xml:space="preserve">grosir shop </t>
  </si>
  <si>
    <t xml:space="preserve">karet unyil , potong kuku dll </t>
  </si>
  <si>
    <t>trendy asemka</t>
  </si>
  <si>
    <t xml:space="preserve">acc halloween </t>
  </si>
  <si>
    <t>loving official</t>
  </si>
  <si>
    <t>sirkam rambut</t>
  </si>
  <si>
    <t>hansologne</t>
  </si>
  <si>
    <t>stiker harga</t>
  </si>
  <si>
    <t>kiswara</t>
  </si>
  <si>
    <t>bagcharm cry baby</t>
  </si>
  <si>
    <t xml:space="preserve">buffy kawai </t>
  </si>
  <si>
    <t>rantai ganci</t>
  </si>
  <si>
    <t xml:space="preserve">rumah stopper </t>
  </si>
  <si>
    <t>kaitan gelang</t>
  </si>
  <si>
    <t>mahkota</t>
  </si>
  <si>
    <t>pary accesories</t>
  </si>
  <si>
    <t>jeday jepun</t>
  </si>
  <si>
    <t xml:space="preserve">clay </t>
  </si>
  <si>
    <t>yobu bali</t>
  </si>
  <si>
    <t>ganci love</t>
  </si>
  <si>
    <t>dewi kristal</t>
  </si>
  <si>
    <t>topi halloween</t>
  </si>
  <si>
    <t>kaya koleksi</t>
  </si>
  <si>
    <t>DESEMBER</t>
  </si>
  <si>
    <t>Pekenan tenten</t>
  </si>
  <si>
    <t>Sumbangan ogoh ogoh</t>
  </si>
  <si>
    <t>Beli pizza</t>
  </si>
  <si>
    <t>Domino</t>
  </si>
  <si>
    <t>Belanja di toko</t>
  </si>
  <si>
    <t xml:space="preserve">Tisu dll </t>
  </si>
  <si>
    <t>Pembayaran nails</t>
  </si>
  <si>
    <t>Septi</t>
  </si>
  <si>
    <t>Pembayaran rajutan</t>
  </si>
  <si>
    <t>Bunga hari guru</t>
  </si>
  <si>
    <t>Risanta</t>
  </si>
  <si>
    <t>Bunga hari ibu</t>
  </si>
  <si>
    <t>Gelang couple</t>
  </si>
  <si>
    <t xml:space="preserve">lovelyhand </t>
  </si>
  <si>
    <t>Craft dewata</t>
  </si>
  <si>
    <t>Strap</t>
  </si>
  <si>
    <t>Merah dost</t>
  </si>
  <si>
    <t>Bagcharm</t>
  </si>
  <si>
    <t>Charmle</t>
  </si>
  <si>
    <t>Take it mall</t>
  </si>
  <si>
    <t>Kaitan</t>
  </si>
  <si>
    <t>Kalender mini dll</t>
  </si>
  <si>
    <t>minigoshop</t>
  </si>
  <si>
    <t>wraping bunga</t>
  </si>
  <si>
    <t>Ganci bagcharm</t>
  </si>
  <si>
    <t>kaycafashion</t>
  </si>
  <si>
    <t>lego</t>
  </si>
  <si>
    <t>Mainan balok</t>
  </si>
  <si>
    <t>Ganci love</t>
  </si>
  <si>
    <t>Dewi kristal</t>
  </si>
  <si>
    <t xml:space="preserve">Bando croisant </t>
  </si>
  <si>
    <t>Calfanishop</t>
  </si>
  <si>
    <t>Sarung tangan</t>
  </si>
  <si>
    <t xml:space="preserve">Rizky grosir </t>
  </si>
  <si>
    <t>NOVEMBER</t>
  </si>
  <si>
    <t>98</t>
  </si>
  <si>
    <t>99</t>
  </si>
  <si>
    <t>Tenten</t>
  </si>
  <si>
    <t>THR Erni</t>
  </si>
  <si>
    <t>galungan kuningan</t>
  </si>
  <si>
    <t>Kundangan ilmi</t>
  </si>
  <si>
    <t>nikah</t>
  </si>
  <si>
    <t>Salsa</t>
  </si>
  <si>
    <t>tenten</t>
  </si>
  <si>
    <t>salsa</t>
  </si>
  <si>
    <t>anggun</t>
  </si>
  <si>
    <t>nur azizah</t>
  </si>
  <si>
    <t>tenten dan toko</t>
  </si>
  <si>
    <t>uang makan</t>
  </si>
  <si>
    <t>uang makan tenten</t>
  </si>
  <si>
    <t xml:space="preserve">pick up </t>
  </si>
  <si>
    <t>pick up</t>
  </si>
  <si>
    <t xml:space="preserve">Kain Pantai </t>
  </si>
  <si>
    <t xml:space="preserve">Gelang manik kerang </t>
  </si>
  <si>
    <t>jajan cloudcakes</t>
  </si>
  <si>
    <t>cloudcakes</t>
  </si>
  <si>
    <t>beautybee</t>
  </si>
  <si>
    <t>Bulu mata milai</t>
  </si>
  <si>
    <t>Milai official store</t>
  </si>
  <si>
    <t>Bagcharn anggrek</t>
  </si>
  <si>
    <t>Kerajinan Unik Kekinian</t>
  </si>
  <si>
    <t xml:space="preserve">Kaitan </t>
  </si>
  <si>
    <t>slayer leopard</t>
  </si>
  <si>
    <t>Indie concept</t>
  </si>
  <si>
    <t>Elsyafa Craft</t>
  </si>
  <si>
    <t>Lem bulu mata</t>
  </si>
  <si>
    <t>Murni cosmetics</t>
  </si>
  <si>
    <t>gelang kerang manik</t>
  </si>
  <si>
    <t>Lingkar teman</t>
  </si>
  <si>
    <t>roll jumbo</t>
  </si>
  <si>
    <t>Lemovita</t>
  </si>
  <si>
    <t>anting kundangan</t>
  </si>
  <si>
    <t>aksesories mode</t>
  </si>
  <si>
    <t>sabun kertas</t>
  </si>
  <si>
    <t>Rynov Store</t>
  </si>
  <si>
    <t>Strap phone</t>
  </si>
  <si>
    <t>Merahdost</t>
  </si>
  <si>
    <t>jerry toko</t>
  </si>
  <si>
    <t>rasberries</t>
  </si>
  <si>
    <t>headset</t>
  </si>
  <si>
    <t>gotrays</t>
  </si>
  <si>
    <t>selempang hp</t>
  </si>
  <si>
    <t>davioo</t>
  </si>
  <si>
    <t>Stap new</t>
  </si>
  <si>
    <t>everlastinggift</t>
  </si>
  <si>
    <t>ganci huruf</t>
  </si>
  <si>
    <t>nadeldza</t>
  </si>
  <si>
    <t>bagcharn capybara</t>
  </si>
  <si>
    <t>rapastore</t>
  </si>
  <si>
    <t>tokomamaja</t>
  </si>
  <si>
    <t>bagcharn loopy</t>
  </si>
  <si>
    <t>toys town indonesia</t>
  </si>
  <si>
    <t>tempat sanitizerf</t>
  </si>
  <si>
    <t>kidei</t>
  </si>
  <si>
    <t>anting paket</t>
  </si>
  <si>
    <t>fashioniesta</t>
  </si>
  <si>
    <t>tempat gelang</t>
  </si>
  <si>
    <t>dewata art shop</t>
  </si>
  <si>
    <t>sweetbloom</t>
  </si>
  <si>
    <t>mantel</t>
  </si>
  <si>
    <t>athena</t>
  </si>
  <si>
    <t>kalung mata</t>
  </si>
  <si>
    <t>bocyn bag</t>
  </si>
  <si>
    <t>keset toko</t>
  </si>
  <si>
    <t>koko store</t>
  </si>
  <si>
    <t>bagcharn</t>
  </si>
  <si>
    <t>toko unikmu</t>
  </si>
  <si>
    <t>powerbank</t>
  </si>
  <si>
    <t>kidp</t>
  </si>
  <si>
    <t>jeday</t>
  </si>
  <si>
    <t>declip</t>
  </si>
  <si>
    <t>cloopy</t>
  </si>
  <si>
    <t>tas</t>
  </si>
  <si>
    <t>bagmart</t>
  </si>
  <si>
    <t>jepit capybara</t>
  </si>
  <si>
    <t>anggrek aksesoris</t>
  </si>
  <si>
    <t>rumah rajut 28</t>
  </si>
  <si>
    <t>salmah aksesories</t>
  </si>
  <si>
    <t>pulpen</t>
  </si>
  <si>
    <t>seller murah terpercaya</t>
  </si>
  <si>
    <t>jepit bebek</t>
  </si>
  <si>
    <t>take it mall</t>
  </si>
  <si>
    <t>plastik opp murah</t>
  </si>
  <si>
    <t>gantungan</t>
  </si>
  <si>
    <t>popcorn mall</t>
  </si>
  <si>
    <t>sachiku</t>
  </si>
  <si>
    <t>lucky shop</t>
  </si>
  <si>
    <t>scarf</t>
  </si>
  <si>
    <t>karet</t>
  </si>
  <si>
    <t>rumah sukses</t>
  </si>
  <si>
    <t>headbband</t>
  </si>
  <si>
    <t>maciko idn</t>
  </si>
  <si>
    <t>jas hujan grimlock</t>
  </si>
  <si>
    <t>priginshop bkk</t>
  </si>
  <si>
    <t xml:space="preserve">note book mini </t>
  </si>
  <si>
    <t xml:space="preserve">aimilo </t>
  </si>
  <si>
    <t>pandaraincoat</t>
  </si>
  <si>
    <t>kaki payung</t>
  </si>
  <si>
    <t>sumber hoki</t>
  </si>
  <si>
    <t>paint number</t>
  </si>
  <si>
    <t xml:space="preserve">jepit kupu </t>
  </si>
  <si>
    <t>carddiem</t>
  </si>
  <si>
    <t>slime</t>
  </si>
  <si>
    <t>foto copy</t>
  </si>
  <si>
    <t>bina jaya</t>
  </si>
  <si>
    <t>keranjang dan pengharum</t>
  </si>
  <si>
    <t>amigo</t>
  </si>
  <si>
    <t xml:space="preserve">spanduk </t>
  </si>
  <si>
    <t>pengeluaran toko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</si>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</sst>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8" x14ac:knownFonts="1">
    <font>
      <sz val="10"/>
      <color rgb="FF000000"/>
      <name val="Arial"/>
      <scheme val="minor"/>
    </font>
    <font>
      <sz val="19"/>
      <color theme="1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sz val="10"/>
      <name val="Arial"/>
    </font>
    <font>
      <sz val="10"/>
      <color rgb="FF434343"/>
      <name val="Arial"/>
      <scheme val="minor"/>
    </font>
    <font>
      <sz val="10"/>
      <color rgb="FFFF0000"/>
      <name val="Arial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2" fillId="2" borderId="0" xfId="0" applyNumberFormat="1" applyFont="1" applyFill="1"/>
    <xf numFmtId="0" fontId="2" fillId="0" borderId="0" xfId="0" applyFont="1"/>
    <xf numFmtId="9" fontId="2" fillId="0" borderId="0" xfId="0" applyNumberFormat="1" applyFont="1"/>
    <xf numFmtId="0" fontId="5" fillId="4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64" fontId="2" fillId="0" borderId="4" xfId="0" applyNumberFormat="1" applyFont="1" applyBorder="1" applyAlignment="1">
      <alignment horizontal="left"/>
    </xf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quotePrefix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0" fillId="0" borderId="0" xfId="0"/>
    <xf numFmtId="164" fontId="3" fillId="2" borderId="0" xfId="0" applyNumberFormat="1" applyFont="1" applyFill="1" applyAlignment="1">
      <alignment horizontal="center"/>
    </xf>
    <xf numFmtId="9" fontId="3" fillId="2" borderId="0" xfId="0" applyNumberFormat="1" applyFont="1" applyFill="1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2" fillId="3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1C36-43FF-A9A8-011FF37D184C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C36-43FF-A9A8-011FF37D184C}"/>
              </c:ext>
            </c:extLst>
          </c:dPt>
          <c:cat>
            <c:strRef>
              <c:f>'JAN 2025 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'JAN 2025 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16482500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36-43FF-A9A8-011FF37D1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9349978"/>
        <c:axId val="991793899"/>
      </c:barChart>
      <c:catAx>
        <c:axId val="1679349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1793899"/>
        <c:crosses val="autoZero"/>
        <c:auto val="1"/>
        <c:lblAlgn val="ctr"/>
        <c:lblOffset val="100"/>
        <c:noMultiLvlLbl val="1"/>
      </c:catAx>
      <c:valAx>
        <c:axId val="991793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93499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A3B5-41ED-96ED-113D97E51EF8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B5-41ED-96ED-113D97E51EF8}"/>
              </c:ext>
            </c:extLst>
          </c:dPt>
          <c:cat>
            <c:strRef>
              <c:f>'FEB 2025'!$R$1:$R$2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'FEB 2025'!$S$1:$S$2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26221062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B5-41ED-96ED-113D97E51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71888"/>
        <c:axId val="1005239635"/>
      </c:barChart>
      <c:catAx>
        <c:axId val="10977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5239635"/>
        <c:crosses val="autoZero"/>
        <c:auto val="1"/>
        <c:lblAlgn val="ctr"/>
        <c:lblOffset val="100"/>
        <c:noMultiLvlLbl val="1"/>
      </c:catAx>
      <c:valAx>
        <c:axId val="1005239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77188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FCA0-4D33-975C-BEC1C3053680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A0-4D33-975C-BEC1C3053680}"/>
              </c:ext>
            </c:extLst>
          </c:dPt>
          <c:cat>
            <c:strRef>
              <c:f>'MAR 2025'!$R$1:$R$2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'MAR 2025'!$S$1:$S$2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18080000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A0-4D33-975C-BEC1C3053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5403073"/>
        <c:axId val="235228643"/>
      </c:barChart>
      <c:catAx>
        <c:axId val="1165403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5228643"/>
        <c:crosses val="autoZero"/>
        <c:auto val="1"/>
        <c:lblAlgn val="ctr"/>
        <c:lblOffset val="100"/>
        <c:noMultiLvlLbl val="1"/>
      </c:catAx>
      <c:valAx>
        <c:axId val="235228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54030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09C-4FC2-B340-FA047D51F4D8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9C-4FC2-B340-FA047D51F4D8}"/>
              </c:ext>
            </c:extLst>
          </c:dPt>
          <c:cat>
            <c:strRef>
              <c:f>'APRIL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'APRIL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24755150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9C-4FC2-B340-FA047D51F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7678853"/>
        <c:axId val="1090437743"/>
      </c:barChart>
      <c:catAx>
        <c:axId val="17876788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0437743"/>
        <c:crosses val="autoZero"/>
        <c:auto val="1"/>
        <c:lblAlgn val="ctr"/>
        <c:lblOffset val="100"/>
        <c:noMultiLvlLbl val="1"/>
      </c:catAx>
      <c:valAx>
        <c:axId val="1090437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76788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1F2C-43BF-854B-995715AFD4DA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2C-43BF-854B-995715AFD4DA}"/>
              </c:ext>
            </c:extLst>
          </c:dPt>
          <c:cat>
            <c:strRef>
              <c:f>'MEI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'MEI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15990500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C-43BF-854B-995715AF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48493"/>
        <c:axId val="1397781310"/>
      </c:barChart>
      <c:catAx>
        <c:axId val="5574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7781310"/>
        <c:crosses val="autoZero"/>
        <c:auto val="1"/>
        <c:lblAlgn val="ctr"/>
        <c:lblOffset val="100"/>
        <c:noMultiLvlLbl val="1"/>
      </c:catAx>
      <c:valAx>
        <c:axId val="1397781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7484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33B4-4401-B35C-0966CC56A4CB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B4-4401-B35C-0966CC56A4CB}"/>
              </c:ext>
            </c:extLst>
          </c:dPt>
          <c:cat>
            <c:strRef>
              <c:f>'JUNE 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'JUNE 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27734000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B4-4401-B35C-0966CC56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4078723"/>
        <c:axId val="1186445281"/>
      </c:barChart>
      <c:catAx>
        <c:axId val="764078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6445281"/>
        <c:crosses val="autoZero"/>
        <c:auto val="1"/>
        <c:lblAlgn val="ctr"/>
        <c:lblOffset val="100"/>
        <c:noMultiLvlLbl val="1"/>
      </c:catAx>
      <c:valAx>
        <c:axId val="1186445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40787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FF6-4B20-8B3D-7BB0B4F2017B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F6-4B20-8B3D-7BB0B4F2017B}"/>
              </c:ext>
            </c:extLst>
          </c:dPt>
          <c:cat>
            <c:strRef>
              <c:f>'JULY 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'JULY 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29847500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F6-4B20-8B3D-7BB0B4F20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325952"/>
        <c:axId val="630553327"/>
      </c:barChart>
      <c:catAx>
        <c:axId val="123132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0553327"/>
        <c:crosses val="autoZero"/>
        <c:auto val="1"/>
        <c:lblAlgn val="ctr"/>
        <c:lblOffset val="100"/>
        <c:noMultiLvlLbl val="1"/>
      </c:catAx>
      <c:valAx>
        <c:axId val="630553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13259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A049-407C-B0F4-332F72195EA9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49-407C-B0F4-332F72195EA9}"/>
              </c:ext>
            </c:extLst>
          </c:dPt>
          <c:cat>
            <c:strRef>
              <c:f>'AUGUST 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'AUGUST 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19421000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9-407C-B0F4-332F72195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8946039"/>
        <c:axId val="2033468857"/>
      </c:barChart>
      <c:catAx>
        <c:axId val="1008946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3468857"/>
        <c:crosses val="autoZero"/>
        <c:auto val="1"/>
        <c:lblAlgn val="ctr"/>
        <c:lblOffset val="100"/>
        <c:noMultiLvlLbl val="1"/>
      </c:catAx>
      <c:valAx>
        <c:axId val="2033468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89460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B082-463A-9D56-52A8F3F6B0BD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82-463A-9D56-52A8F3F6B0BD}"/>
              </c:ext>
            </c:extLst>
          </c:dPt>
          <c:cat>
            <c:strRef>
              <c:f>'SEPTEMBER 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'SEPTEMBER 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15534500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82-463A-9D56-52A8F3F6B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221328"/>
        <c:axId val="213423259"/>
      </c:barChart>
      <c:catAx>
        <c:axId val="202822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423259"/>
        <c:crosses val="autoZero"/>
        <c:auto val="1"/>
        <c:lblAlgn val="ctr"/>
        <c:lblOffset val="100"/>
        <c:noMultiLvlLbl val="1"/>
      </c:catAx>
      <c:valAx>
        <c:axId val="213423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2213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339B-404E-8CFE-35ECD5FB46EF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9B-404E-8CFE-35ECD5FB46EF}"/>
              </c:ext>
            </c:extLst>
          </c:dPt>
          <c:cat>
            <c:strRef>
              <c:f>'Oktober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'Oktober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15116302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9B-404E-8CFE-35ECD5FB4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3547124"/>
        <c:axId val="1177787755"/>
      </c:barChart>
      <c:catAx>
        <c:axId val="493547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7787755"/>
        <c:crosses val="autoZero"/>
        <c:auto val="1"/>
        <c:lblAlgn val="ctr"/>
        <c:lblOffset val="100"/>
        <c:noMultiLvlLbl val="1"/>
      </c:catAx>
      <c:valAx>
        <c:axId val="1177787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35471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82D1-44D8-A2AF-3308E077DCEC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D1-44D8-A2AF-3308E077DCEC}"/>
              </c:ext>
            </c:extLst>
          </c:dPt>
          <c:cat>
            <c:strRef>
              <c:f>'November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'November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31972500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D1-44D8-A2AF-3308E077D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5319752"/>
        <c:axId val="1528213961"/>
      </c:barChart>
      <c:catAx>
        <c:axId val="345319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8213961"/>
        <c:crosses val="autoZero"/>
        <c:auto val="1"/>
        <c:lblAlgn val="ctr"/>
        <c:lblOffset val="100"/>
        <c:noMultiLvlLbl val="1"/>
      </c:catAx>
      <c:valAx>
        <c:axId val="1528213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53197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6A48-4766-B197-E5E89F5845EE}"/>
              </c:ext>
            </c:extLst>
          </c:dPt>
          <c:dPt>
            <c:idx val="1"/>
            <c:invertIfNegative val="1"/>
            <c:bubble3D val="0"/>
            <c:spPr>
              <a:solidFill>
                <a:srgbClr val="F4CCCC"/>
              </a:solidFill>
              <a:ln cmpd="sng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A48-4766-B197-E5E89F5845EE}"/>
              </c:ext>
            </c:extLst>
          </c:dPt>
          <c:cat>
            <c:strRef>
              <c:f>'Desember 25'!$R$1:$R$2</c:f>
              <c:strCache>
                <c:ptCount val="2"/>
                <c:pt idx="0">
                  <c:v>TOTAL REVENUE</c:v>
                </c:pt>
                <c:pt idx="1">
                  <c:v>OPERATIONAL COST</c:v>
                </c:pt>
              </c:strCache>
            </c:strRef>
          </c:cat>
          <c:val>
            <c:numRef>
              <c:f>'Desember 25'!$S$1:$S$2</c:f>
              <c:numCache>
                <c:formatCode>[$Rp]#,##0</c:formatCode>
                <c:ptCount val="2"/>
                <c:pt idx="0" formatCode="General">
                  <c:v>0</c:v>
                </c:pt>
                <c:pt idx="1">
                  <c:v>15269500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48-4766-B197-E5E89F584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1653106"/>
        <c:axId val="157873096"/>
      </c:barChart>
      <c:catAx>
        <c:axId val="1941653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7873096"/>
        <c:crosses val="autoZero"/>
        <c:auto val="1"/>
        <c:lblAlgn val="ctr"/>
        <c:lblOffset val="100"/>
        <c:noMultiLvlLbl val="1"/>
      </c:catAx>
      <c:valAx>
        <c:axId val="157873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6531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296121052" name="Chart3" title="Chart">
          <a:extLst>
            <a:ext uri="{FF2B5EF4-FFF2-40B4-BE49-F238E27FC236}">
              <a16:creationId xmlns:a16="http://schemas.microsoft.com/office/drawing/2014/main" id="{00000000-0008-0000-0000-0000DC72A61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524500" cy="3409950"/>
    <xdr:pic>
      <xdr:nvPicPr>
        <xdr:cNvPr id="2072084945" name="Chart6" title="Chart">
          <a:extLst>
            <a:ext uri="{FF2B5EF4-FFF2-40B4-BE49-F238E27FC236}">
              <a16:creationId xmlns:a16="http://schemas.microsoft.com/office/drawing/2014/main" id="{00000000-0008-0000-0000-0000D181817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360936121" name="Chart2" title="Chart">
          <a:extLst>
            <a:ext uri="{FF2B5EF4-FFF2-40B4-BE49-F238E27FC236}">
              <a16:creationId xmlns:a16="http://schemas.microsoft.com/office/drawing/2014/main" id="{00000000-0008-0000-0100-0000B972831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954976624" name="Chart8" title="Chart">
          <a:extLst>
            <a:ext uri="{FF2B5EF4-FFF2-40B4-BE49-F238E27FC236}">
              <a16:creationId xmlns:a16="http://schemas.microsoft.com/office/drawing/2014/main" id="{00000000-0008-0000-0100-00007093867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946750409" name="Chart4" title="Chart">
          <a:extLst>
            <a:ext uri="{FF2B5EF4-FFF2-40B4-BE49-F238E27FC236}">
              <a16:creationId xmlns:a16="http://schemas.microsoft.com/office/drawing/2014/main" id="{00000000-0008-0000-0200-0000C9436E3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333591514" name="Chart9" title="Chart">
          <a:extLst>
            <a:ext uri="{FF2B5EF4-FFF2-40B4-BE49-F238E27FC236}">
              <a16:creationId xmlns:a16="http://schemas.microsoft.com/office/drawing/2014/main" id="{00000000-0008-0000-0200-0000DA33E21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817722187" name="Chart5" title="Chart">
          <a:extLst>
            <a:ext uri="{FF2B5EF4-FFF2-40B4-BE49-F238E27FC236}">
              <a16:creationId xmlns:a16="http://schemas.microsoft.com/office/drawing/2014/main" id="{00000000-0008-0000-0300-00004B73BD3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129278841" name="Chart7" title="Chart">
          <a:extLst>
            <a:ext uri="{FF2B5EF4-FFF2-40B4-BE49-F238E27FC236}">
              <a16:creationId xmlns:a16="http://schemas.microsoft.com/office/drawing/2014/main" id="{00000000-0008-0000-0300-0000796D4F4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1278684642" name="Chart13" title="Chart">
          <a:extLst>
            <a:ext uri="{FF2B5EF4-FFF2-40B4-BE49-F238E27FC236}">
              <a16:creationId xmlns:a16="http://schemas.microsoft.com/office/drawing/2014/main" id="{00000000-0008-0000-0400-0000E22D374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208598109" name="Chart17" title="Chart">
          <a:extLst>
            <a:ext uri="{FF2B5EF4-FFF2-40B4-BE49-F238E27FC236}">
              <a16:creationId xmlns:a16="http://schemas.microsoft.com/office/drawing/2014/main" id="{00000000-0008-0000-0400-00005DF46E0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1345158682" name="Chart14" title="Chart">
          <a:extLst>
            <a:ext uri="{FF2B5EF4-FFF2-40B4-BE49-F238E27FC236}">
              <a16:creationId xmlns:a16="http://schemas.microsoft.com/office/drawing/2014/main" id="{00000000-0008-0000-0500-00001A7E2D5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455352876" name="Chart18" title="Chart">
          <a:extLst>
            <a:ext uri="{FF2B5EF4-FFF2-40B4-BE49-F238E27FC236}">
              <a16:creationId xmlns:a16="http://schemas.microsoft.com/office/drawing/2014/main" id="{00000000-0008-0000-0500-00002C22241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407546055" name="Chart15" title="Chart">
          <a:extLst>
            <a:ext uri="{FF2B5EF4-FFF2-40B4-BE49-F238E27FC236}">
              <a16:creationId xmlns:a16="http://schemas.microsoft.com/office/drawing/2014/main" id="{00000000-0008-0000-0600-0000C7A84A1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187676487" name="Chart20" title="Chart">
          <a:extLst>
            <a:ext uri="{FF2B5EF4-FFF2-40B4-BE49-F238E27FC236}">
              <a16:creationId xmlns:a16="http://schemas.microsoft.com/office/drawing/2014/main" id="{00000000-0008-0000-0600-00004781CA4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715848225" name="Chart16" title="Chart">
          <a:extLst>
            <a:ext uri="{FF2B5EF4-FFF2-40B4-BE49-F238E27FC236}">
              <a16:creationId xmlns:a16="http://schemas.microsoft.com/office/drawing/2014/main" id="{00000000-0008-0000-0700-000021FAAA2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666873420" name="Chart19" title="Chart">
          <a:extLst>
            <a:ext uri="{FF2B5EF4-FFF2-40B4-BE49-F238E27FC236}">
              <a16:creationId xmlns:a16="http://schemas.microsoft.com/office/drawing/2014/main" id="{00000000-0008-0000-0700-00004CAEBF2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940651615" name="Chart23" title="Chart">
          <a:extLst>
            <a:ext uri="{FF2B5EF4-FFF2-40B4-BE49-F238E27FC236}">
              <a16:creationId xmlns:a16="http://schemas.microsoft.com/office/drawing/2014/main" id="{00000000-0008-0000-0800-00005F34113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635900416" name="Chart27" title="Chart">
          <a:extLst>
            <a:ext uri="{FF2B5EF4-FFF2-40B4-BE49-F238E27FC236}">
              <a16:creationId xmlns:a16="http://schemas.microsoft.com/office/drawing/2014/main" id="{00000000-0008-0000-0800-000000DC816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31" name="Chart 31" title="Chart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1800363606" name="Chart26" title="Chart">
          <a:extLst>
            <a:ext uri="{FF2B5EF4-FFF2-40B4-BE49-F238E27FC236}">
              <a16:creationId xmlns:a16="http://schemas.microsoft.com/office/drawing/2014/main" id="{00000000-0008-0000-0900-0000565E4F6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335642354" name="Chart30" title="Chart">
          <a:extLst>
            <a:ext uri="{FF2B5EF4-FFF2-40B4-BE49-F238E27FC236}">
              <a16:creationId xmlns:a16="http://schemas.microsoft.com/office/drawing/2014/main" id="{00000000-0008-0000-0900-0000F2489C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32" name="Chart 32" title="Char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1455570195" name="Chart28" title="Chart">
          <a:extLst>
            <a:ext uri="{FF2B5EF4-FFF2-40B4-BE49-F238E27FC236}">
              <a16:creationId xmlns:a16="http://schemas.microsoft.com/office/drawing/2014/main" id="{00000000-0008-0000-0A00-0000133DC25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92913849" name="Chart34" title="Chart">
          <a:extLst>
            <a:ext uri="{FF2B5EF4-FFF2-40B4-BE49-F238E27FC236}">
              <a16:creationId xmlns:a16="http://schemas.microsoft.com/office/drawing/2014/main" id="{00000000-0008-0000-0A00-0000B9A17F0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36" name="Chart 36" title="Chart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0" cy="3409950"/>
    <xdr:pic>
      <xdr:nvPicPr>
        <xdr:cNvPr id="519756301" name="Chart29" title="Chart">
          <a:extLst>
            <a:ext uri="{FF2B5EF4-FFF2-40B4-BE49-F238E27FC236}">
              <a16:creationId xmlns:a16="http://schemas.microsoft.com/office/drawing/2014/main" id="{00000000-0008-0000-0B00-00000DDAFA1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1219200</xdr:colOff>
      <xdr:row>0</xdr:row>
      <xdr:rowOff>0</xdr:rowOff>
    </xdr:from>
    <xdr:ext cx="6238875" cy="3409950"/>
    <xdr:pic>
      <xdr:nvPicPr>
        <xdr:cNvPr id="188484224" name="Chart33" title="Chart">
          <a:extLst>
            <a:ext uri="{FF2B5EF4-FFF2-40B4-BE49-F238E27FC236}">
              <a16:creationId xmlns:a16="http://schemas.microsoft.com/office/drawing/2014/main" id="{00000000-0008-0000-0B00-0000800A3C0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0</xdr:row>
      <xdr:rowOff>0</xdr:rowOff>
    </xdr:from>
    <xdr:ext cx="5724525" cy="3533775"/>
    <xdr:graphicFrame macro="">
      <xdr:nvGraphicFramePr>
        <xdr:cNvPr id="35" name="Chart 35" title="Chart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ly%20Revenu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evenu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55CC"/>
    <outlinePr summaryBelow="0" summaryRight="0"/>
  </sheetPr>
  <dimension ref="A1:Y1015"/>
  <sheetViews>
    <sheetView zoomScale="65"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0" max="20" width="18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Revenue'!AL23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16482500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7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10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SUM(H:H)</f>
        <v>16482500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4794500</v>
      </c>
      <c r="Y19" s="32"/>
    </row>
    <row r="20" spans="1:25" ht="12.5" x14ac:dyDescent="0.25">
      <c r="A20" s="12"/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200" si="0">F20*H20</f>
        <v>2000000</v>
      </c>
      <c r="J20" s="13" t="s">
        <v>24</v>
      </c>
      <c r="K20" s="23"/>
      <c r="L20" s="23"/>
      <c r="N20" s="7" t="str">
        <f ca="1">IFERROR(__xludf.DUMMYFUNCTION("filter(A20:J200,C20:C200=P18)"),"")</f>
        <v/>
      </c>
      <c r="O20" s="7">
        <f ca="1">IFERROR(__xludf.DUMMYFUNCTION("""COMPUTED_VALUE"""),1)</f>
        <v>1</v>
      </c>
      <c r="P20" s="7" t="str">
        <f ca="1">IFERROR(__xludf.DUMMYFUNCTION("""COMPUTED_VALUE"""),"Operational")</f>
        <v>Operational</v>
      </c>
      <c r="Q20" s="7" t="str">
        <f ca="1">IFERROR(__xludf.DUMMYFUNCTION("""COMPUTED_VALUE"""),"Sewa Toko")</f>
        <v>Sewa Toko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IFERROR(__xludf.DUMMYFUNCTION("""COMPUTED_VALUE"""),2000000)</f>
        <v>2000000</v>
      </c>
      <c r="V20" s="17">
        <f ca="1">IFERROR(__xludf.DUMMYFUNCTION("""COMPUTED_VALUE"""),2000000)</f>
        <v>2000000</v>
      </c>
      <c r="W20" s="7" t="str">
        <f ca="1">IFERROR(__xludf.DUMMYFUNCTION("""COMPUTED_VALUE"""),"Bu Sadya ")</f>
        <v xml:space="preserve">Bu Sadya </v>
      </c>
      <c r="X20" s="33"/>
      <c r="Y20" s="34"/>
    </row>
    <row r="21" spans="1:25" ht="12.5" x14ac:dyDescent="0.25">
      <c r="A21" s="12"/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/>
      <c r="O21" s="7">
        <f ca="1">IFERROR(__xludf.DUMMYFUNCTION("""COMPUTED_VALUE"""),1)</f>
        <v>1</v>
      </c>
      <c r="P21" s="7" t="str">
        <f ca="1">IFERROR(__xludf.DUMMYFUNCTION("""COMPUTED_VALUE"""),"Operational")</f>
        <v>Operational</v>
      </c>
      <c r="Q21" s="7" t="str">
        <f ca="1">IFERROR(__xludf.DUMMYFUNCTION("""COMPUTED_VALUE"""),"Canang Tisu DLL ")</f>
        <v xml:space="preserve">Canang Tisu DLL 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IFERROR(__xludf.DUMMYFUNCTION("""COMPUTED_VALUE"""),200000)</f>
        <v>200000</v>
      </c>
      <c r="V21" s="17">
        <f ca="1">IFERROR(__xludf.DUMMYFUNCTION("""COMPUTED_VALUE"""),200000)</f>
        <v>200000</v>
      </c>
      <c r="W21" s="7" t="str">
        <f ca="1">IFERROR(__xludf.DUMMYFUNCTION("""COMPUTED_VALUE"""),"Bopeas")</f>
        <v>Bopeas</v>
      </c>
      <c r="X21" s="35"/>
      <c r="Y21" s="36"/>
    </row>
    <row r="22" spans="1:25" ht="12.5" x14ac:dyDescent="0.25">
      <c r="A22" s="12"/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/>
      <c r="O22" s="7">
        <f ca="1">IFERROR(__xludf.DUMMYFUNCTION("""COMPUTED_VALUE"""),1)</f>
        <v>1</v>
      </c>
      <c r="P22" s="7" t="str">
        <f ca="1">IFERROR(__xludf.DUMMYFUNCTION("""COMPUTED_VALUE"""),"Operational")</f>
        <v>Operational</v>
      </c>
      <c r="Q22" s="7" t="str">
        <f ca="1">IFERROR(__xludf.DUMMYFUNCTION("""COMPUTED_VALUE"""),"Banjar")</f>
        <v>Banjar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IFERROR(__xludf.DUMMYFUNCTION("""COMPUTED_VALUE"""),"bulan ")</f>
        <v xml:space="preserve">bulan </v>
      </c>
      <c r="U22" s="17">
        <f ca="1">IFERROR(__xludf.DUMMYFUNCTION("""COMPUTED_VALUE"""),30000)</f>
        <v>30000</v>
      </c>
      <c r="V22" s="17">
        <f ca="1">IFERROR(__xludf.DUMMYFUNCTION("""COMPUTED_VALUE"""),30000)</f>
        <v>30000</v>
      </c>
      <c r="W22" s="7" t="str">
        <f ca="1">IFERROR(__xludf.DUMMYFUNCTION("""COMPUTED_VALUE"""),"Banjar Gladag")</f>
        <v>Banjar Gladag</v>
      </c>
    </row>
    <row r="23" spans="1:25" ht="12.5" x14ac:dyDescent="0.25">
      <c r="A23" s="12"/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/>
      <c r="O23" s="7">
        <f ca="1">IFERROR(__xludf.DUMMYFUNCTION("""COMPUTED_VALUE"""),1)</f>
        <v>1</v>
      </c>
      <c r="P23" s="7" t="str">
        <f ca="1">IFERROR(__xludf.DUMMYFUNCTION("""COMPUTED_VALUE"""),"Operational")</f>
        <v>Operational</v>
      </c>
      <c r="Q23" s="7" t="str">
        <f ca="1">IFERROR(__xludf.DUMMYFUNCTION("""COMPUTED_VALUE"""),"Air PDAM")</f>
        <v>Air PDAM</v>
      </c>
      <c r="R23" s="7" t="str">
        <f ca="1">IFERROR(__xludf.DUMMYFUNCTION("""COMPUTED_VALUE"""),"Reccuring")</f>
        <v>Reccuring</v>
      </c>
      <c r="S23" s="7">
        <f ca="1">IFERROR(__xludf.DUMMYFUNCTION("""COMPUTED_VALUE"""),1)</f>
        <v>1</v>
      </c>
      <c r="T23" s="16" t="str">
        <f ca="1">IFERROR(__xludf.DUMMYFUNCTION("""COMPUTED_VALUE"""),"bulan ")</f>
        <v xml:space="preserve">bulan </v>
      </c>
      <c r="U23" s="17">
        <f ca="1">IFERROR(__xludf.DUMMYFUNCTION("""COMPUTED_VALUE"""),106500)</f>
        <v>106500</v>
      </c>
      <c r="V23" s="17">
        <f ca="1">IFERROR(__xludf.DUMMYFUNCTION("""COMPUTED_VALUE"""),106500)</f>
        <v>106500</v>
      </c>
      <c r="W23" s="7" t="str">
        <f ca="1">IFERROR(__xludf.DUMMYFUNCTION("""COMPUTED_VALUE"""),"PDAM")</f>
        <v>PDAM</v>
      </c>
    </row>
    <row r="24" spans="1:25" ht="12.5" x14ac:dyDescent="0.25">
      <c r="A24" s="12"/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N24" s="7"/>
      <c r="O24" s="7">
        <f ca="1">IFERROR(__xludf.DUMMYFUNCTION("""COMPUTED_VALUE"""),1)</f>
        <v>1</v>
      </c>
      <c r="P24" s="7" t="str">
        <f ca="1">IFERROR(__xludf.DUMMYFUNCTION("""COMPUTED_VALUE"""),"Operational")</f>
        <v>Operational</v>
      </c>
      <c r="Q24" s="7" t="str">
        <f ca="1">IFERROR(__xludf.DUMMYFUNCTION("""COMPUTED_VALUE"""),"Wifi")</f>
        <v>Wifi</v>
      </c>
      <c r="R24" s="7" t="str">
        <f ca="1">IFERROR(__xludf.DUMMYFUNCTION("""COMPUTED_VALUE"""),"Reccuring")</f>
        <v>Reccuring</v>
      </c>
      <c r="S24" s="7">
        <f ca="1">IFERROR(__xludf.DUMMYFUNCTION("""COMPUTED_VALUE"""),1)</f>
        <v>1</v>
      </c>
      <c r="T24" s="16" t="str">
        <f ca="1">IFERROR(__xludf.DUMMYFUNCTION("""COMPUTED_VALUE"""),"bulan ")</f>
        <v xml:space="preserve">bulan </v>
      </c>
      <c r="U24" s="17">
        <f ca="1">IFERROR(__xludf.DUMMYFUNCTION("""COMPUTED_VALUE"""),170000)</f>
        <v>170000</v>
      </c>
      <c r="V24" s="17">
        <f ca="1">IFERROR(__xludf.DUMMYFUNCTION("""COMPUTED_VALUE"""),170000)</f>
        <v>170000</v>
      </c>
      <c r="W24" s="7" t="str">
        <f ca="1">IFERROR(__xludf.DUMMYFUNCTION("""COMPUTED_VALUE"""),"Indihome ")</f>
        <v xml:space="preserve">Indihome </v>
      </c>
    </row>
    <row r="25" spans="1:25" ht="12.5" x14ac:dyDescent="0.25">
      <c r="A25" s="12"/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N25" s="7"/>
      <c r="O25" s="7">
        <f ca="1">IFERROR(__xludf.DUMMYFUNCTION("""COMPUTED_VALUE"""),1)</f>
        <v>1</v>
      </c>
      <c r="P25" s="7" t="str">
        <f ca="1">IFERROR(__xludf.DUMMYFUNCTION("""COMPUTED_VALUE"""),"Operational")</f>
        <v>Operational</v>
      </c>
      <c r="Q25" s="7" t="str">
        <f ca="1">IFERROR(__xludf.DUMMYFUNCTION("""COMPUTED_VALUE"""),"Listrik ")</f>
        <v xml:space="preserve">Listrik </v>
      </c>
      <c r="R25" s="7" t="str">
        <f ca="1">IFERROR(__xludf.DUMMYFUNCTION("""COMPUTED_VALUE"""),"Reccuring")</f>
        <v>Reccuring</v>
      </c>
      <c r="S25" s="7">
        <f ca="1">IFERROR(__xludf.DUMMYFUNCTION("""COMPUTED_VALUE"""),1)</f>
        <v>1</v>
      </c>
      <c r="T25" s="16" t="str">
        <f ca="1">IFERROR(__xludf.DUMMYFUNCTION("""COMPUTED_VALUE"""),"bulan ")</f>
        <v xml:space="preserve">bulan </v>
      </c>
      <c r="U25" s="17">
        <f ca="1">IFERROR(__xludf.DUMMYFUNCTION("""COMPUTED_VALUE"""),100000)</f>
        <v>100000</v>
      </c>
      <c r="V25" s="17">
        <f ca="1">IFERROR(__xludf.DUMMYFUNCTION("""COMPUTED_VALUE"""),100000)</f>
        <v>100000</v>
      </c>
      <c r="W25" s="7" t="str">
        <f ca="1">IFERROR(__xludf.DUMMYFUNCTION("""COMPUTED_VALUE"""),"PLN")</f>
        <v>PLN</v>
      </c>
    </row>
    <row r="26" spans="1:25" ht="12.5" x14ac:dyDescent="0.25">
      <c r="A26" s="12"/>
      <c r="B26" s="12">
        <v>1</v>
      </c>
      <c r="C26" s="12" t="s">
        <v>35</v>
      </c>
      <c r="D26" s="13" t="s">
        <v>36</v>
      </c>
      <c r="E26" s="12" t="s">
        <v>22</v>
      </c>
      <c r="F26" s="12">
        <v>1</v>
      </c>
      <c r="G26" s="14" t="s">
        <v>23</v>
      </c>
      <c r="H26" s="15">
        <v>2078000</v>
      </c>
      <c r="I26" s="15">
        <f t="shared" si="0"/>
        <v>2078000</v>
      </c>
      <c r="J26" s="13" t="s">
        <v>37</v>
      </c>
      <c r="N26" s="7"/>
      <c r="O26" s="7">
        <f ca="1">IFERROR(__xludf.DUMMYFUNCTION("""COMPUTED_VALUE"""),1)</f>
        <v>1</v>
      </c>
      <c r="P26" s="7" t="str">
        <f ca="1">IFERROR(__xludf.DUMMYFUNCTION("""COMPUTED_VALUE"""),"Operational")</f>
        <v>Operational</v>
      </c>
      <c r="Q26" s="7" t="str">
        <f ca="1">IFERROR(__xludf.DUMMYFUNCTION("""COMPUTED_VALUE"""),"Transportasi ")</f>
        <v xml:space="preserve">Transportasi </v>
      </c>
      <c r="R26" s="7" t="str">
        <f ca="1">IFERROR(__xludf.DUMMYFUNCTION("""COMPUTED_VALUE"""),"Reccuring")</f>
        <v>Reccuring</v>
      </c>
      <c r="S26" s="7">
        <f ca="1">IFERROR(__xludf.DUMMYFUNCTION("""COMPUTED_VALUE"""),1)</f>
        <v>1</v>
      </c>
      <c r="T26" s="16" t="str">
        <f ca="1">IFERROR(__xludf.DUMMYFUNCTION("""COMPUTED_VALUE"""),"bulan ")</f>
        <v xml:space="preserve">bulan </v>
      </c>
      <c r="U26" s="17">
        <f ca="1">IFERROR(__xludf.DUMMYFUNCTION("""COMPUTED_VALUE"""),100000)</f>
        <v>100000</v>
      </c>
      <c r="V26" s="17">
        <f ca="1">IFERROR(__xludf.DUMMYFUNCTION("""COMPUTED_VALUE"""),100000)</f>
        <v>100000</v>
      </c>
      <c r="W26" s="7" t="str">
        <f ca="1">IFERROR(__xludf.DUMMYFUNCTION("""COMPUTED_VALUE"""),"KIMI")</f>
        <v>KIMI</v>
      </c>
    </row>
    <row r="27" spans="1:25" ht="12.5" x14ac:dyDescent="0.25">
      <c r="A27" s="12"/>
      <c r="B27" s="12">
        <v>1</v>
      </c>
      <c r="C27" s="12" t="s">
        <v>35</v>
      </c>
      <c r="D27" s="13" t="s">
        <v>36</v>
      </c>
      <c r="E27" s="12" t="s">
        <v>22</v>
      </c>
      <c r="F27" s="12">
        <v>1</v>
      </c>
      <c r="G27" s="14" t="s">
        <v>23</v>
      </c>
      <c r="H27" s="15">
        <v>1814000</v>
      </c>
      <c r="I27" s="15">
        <f t="shared" si="0"/>
        <v>1814000</v>
      </c>
      <c r="J27" s="13" t="s">
        <v>38</v>
      </c>
      <c r="N27" s="7"/>
      <c r="O27" s="7">
        <f ca="1">IFERROR(__xludf.DUMMYFUNCTION("""COMPUTED_VALUE"""),1)</f>
        <v>1</v>
      </c>
      <c r="P27" s="7" t="str">
        <f ca="1">IFERROR(__xludf.DUMMYFUNCTION("""COMPUTED_VALUE"""),"Operational")</f>
        <v>Operational</v>
      </c>
      <c r="Q27" s="7" t="str">
        <f ca="1">IFERROR(__xludf.DUMMYFUNCTION("""COMPUTED_VALUE"""),"Kasir  Majoo ")</f>
        <v xml:space="preserve">Kasir  Majoo </v>
      </c>
      <c r="R27" s="7" t="str">
        <f ca="1">IFERROR(__xludf.DUMMYFUNCTION("""COMPUTED_VALUE"""),"Reccuring")</f>
        <v>Reccuring</v>
      </c>
      <c r="S27" s="7">
        <f ca="1">IFERROR(__xludf.DUMMYFUNCTION("""COMPUTED_VALUE"""),1)</f>
        <v>1</v>
      </c>
      <c r="T27" s="16" t="str">
        <f ca="1">IFERROR(__xludf.DUMMYFUNCTION("""COMPUTED_VALUE"""),"bulan ")</f>
        <v xml:space="preserve">bulan </v>
      </c>
      <c r="U27" s="17">
        <f ca="1">IFERROR(__xludf.DUMMYFUNCTION("""COMPUTED_VALUE"""),100000)</f>
        <v>100000</v>
      </c>
      <c r="V27" s="17">
        <f ca="1">IFERROR(__xludf.DUMMYFUNCTION("""COMPUTED_VALUE"""),100000)</f>
        <v>100000</v>
      </c>
      <c r="W27" s="7" t="str">
        <f ca="1">IFERROR(__xludf.DUMMYFUNCTION("""COMPUTED_VALUE"""),"Kasir Majoo ")</f>
        <v xml:space="preserve">Kasir Majoo </v>
      </c>
    </row>
    <row r="28" spans="1:25" ht="12.5" x14ac:dyDescent="0.25">
      <c r="A28" s="12"/>
      <c r="B28" s="12">
        <v>1</v>
      </c>
      <c r="C28" s="12" t="s">
        <v>39</v>
      </c>
      <c r="D28" s="13" t="s">
        <v>40</v>
      </c>
      <c r="E28" s="12" t="s">
        <v>22</v>
      </c>
      <c r="F28" s="12">
        <v>1</v>
      </c>
      <c r="G28" s="14" t="s">
        <v>23</v>
      </c>
      <c r="H28" s="15">
        <v>80000</v>
      </c>
      <c r="I28" s="15">
        <f t="shared" si="0"/>
        <v>80000</v>
      </c>
      <c r="J28" s="13" t="s">
        <v>41</v>
      </c>
      <c r="N28" s="7"/>
      <c r="O28" s="7">
        <f ca="1">IFERROR(__xludf.DUMMYFUNCTION("""COMPUTED_VALUE"""),1)</f>
        <v>1</v>
      </c>
      <c r="P28" s="7" t="str">
        <f ca="1">IFERROR(__xludf.DUMMYFUNCTION("""COMPUTED_VALUE"""),"Operational")</f>
        <v>Operational</v>
      </c>
      <c r="Q28" s="7" t="str">
        <f ca="1">IFERROR(__xludf.DUMMYFUNCTION("""COMPUTED_VALUE"""),"Tabungan Galungan ")</f>
        <v xml:space="preserve">Tabungan Galungan </v>
      </c>
      <c r="R28" s="7" t="str">
        <f ca="1">IFERROR(__xludf.DUMMYFUNCTION("""COMPUTED_VALUE"""),"Reccuring")</f>
        <v>Reccuring</v>
      </c>
      <c r="S28" s="7">
        <f ca="1">IFERROR(__xludf.DUMMYFUNCTION("""COMPUTED_VALUE"""),1)</f>
        <v>1</v>
      </c>
      <c r="T28" s="16" t="str">
        <f ca="1">IFERROR(__xludf.DUMMYFUNCTION("""COMPUTED_VALUE"""),"bulan ")</f>
        <v xml:space="preserve">bulan </v>
      </c>
      <c r="U28" s="17">
        <f ca="1">IFERROR(__xludf.DUMMYFUNCTION("""COMPUTED_VALUE"""),300000)</f>
        <v>300000</v>
      </c>
      <c r="V28" s="17">
        <f ca="1">IFERROR(__xludf.DUMMYFUNCTION("""COMPUTED_VALUE"""),300000)</f>
        <v>300000</v>
      </c>
      <c r="W28" s="7" t="str">
        <f ca="1">IFERROR(__xludf.DUMMYFUNCTION("""COMPUTED_VALUE"""),"Tabungan ")</f>
        <v xml:space="preserve">Tabungan </v>
      </c>
    </row>
    <row r="29" spans="1:25" ht="12.5" x14ac:dyDescent="0.25">
      <c r="A29" s="12"/>
      <c r="B29" s="12">
        <v>1</v>
      </c>
      <c r="C29" s="12" t="s">
        <v>10</v>
      </c>
      <c r="D29" s="13" t="s">
        <v>42</v>
      </c>
      <c r="E29" s="12" t="s">
        <v>22</v>
      </c>
      <c r="F29" s="12">
        <v>1</v>
      </c>
      <c r="G29" s="14" t="s">
        <v>23</v>
      </c>
      <c r="H29" s="15">
        <v>100000</v>
      </c>
      <c r="I29" s="15">
        <f t="shared" si="0"/>
        <v>100000</v>
      </c>
      <c r="J29" s="13" t="s">
        <v>43</v>
      </c>
      <c r="N29" s="7"/>
      <c r="O29" s="7">
        <f ca="1">IFERROR(__xludf.DUMMYFUNCTION("""COMPUTED_VALUE"""),1)</f>
        <v>1</v>
      </c>
      <c r="P29" s="7" t="str">
        <f ca="1">IFERROR(__xludf.DUMMYFUNCTION("""COMPUTED_VALUE"""),"Operational")</f>
        <v>Operational</v>
      </c>
      <c r="Q29" s="7" t="str">
        <f ca="1">IFERROR(__xludf.DUMMYFUNCTION("""COMPUTED_VALUE"""),"Cicilan Laptop")</f>
        <v>Cicilan Laptop</v>
      </c>
      <c r="R29" s="7" t="str">
        <f ca="1">IFERROR(__xludf.DUMMYFUNCTION("""COMPUTED_VALUE"""),"Reccuring")</f>
        <v>Reccuring</v>
      </c>
      <c r="S29" s="7">
        <f ca="1">IFERROR(__xludf.DUMMYFUNCTION("""COMPUTED_VALUE"""),1)</f>
        <v>1</v>
      </c>
      <c r="T29" s="16" t="str">
        <f ca="1">IFERROR(__xludf.DUMMYFUNCTION("""COMPUTED_VALUE"""),"bulan ")</f>
        <v xml:space="preserve">bulan </v>
      </c>
      <c r="U29" s="17">
        <f ca="1">IFERROR(__xludf.DUMMYFUNCTION("""COMPUTED_VALUE"""),1500000)</f>
        <v>1500000</v>
      </c>
      <c r="V29" s="17">
        <f ca="1">IFERROR(__xludf.DUMMYFUNCTION("""COMPUTED_VALUE"""),1500000)</f>
        <v>1500000</v>
      </c>
      <c r="W29" s="7" t="str">
        <f ca="1">IFERROR(__xludf.DUMMYFUNCTION("""COMPUTED_VALUE"""),"Shopee")</f>
        <v>Shopee</v>
      </c>
    </row>
    <row r="30" spans="1:25" ht="12.5" x14ac:dyDescent="0.25">
      <c r="A30" s="12"/>
      <c r="B30" s="12">
        <v>1</v>
      </c>
      <c r="C30" s="12" t="s">
        <v>35</v>
      </c>
      <c r="D30" s="13" t="s">
        <v>44</v>
      </c>
      <c r="E30" s="12" t="s">
        <v>22</v>
      </c>
      <c r="F30" s="12">
        <v>1</v>
      </c>
      <c r="G30" s="14" t="s">
        <v>23</v>
      </c>
      <c r="H30" s="15">
        <v>0</v>
      </c>
      <c r="I30" s="15">
        <f t="shared" si="0"/>
        <v>0</v>
      </c>
      <c r="J30" s="13" t="s">
        <v>44</v>
      </c>
      <c r="N30" s="7"/>
      <c r="O30" s="7">
        <f ca="1">IFERROR(__xludf.DUMMYFUNCTION("""COMPUTED_VALUE"""),8)</f>
        <v>8</v>
      </c>
      <c r="P30" s="7" t="str">
        <f ca="1">IFERROR(__xludf.DUMMYFUNCTION("""COMPUTED_VALUE"""),"Operational")</f>
        <v>Operational</v>
      </c>
      <c r="Q30" s="7" t="str">
        <f ca="1">IFERROR(__xludf.DUMMYFUNCTION("""COMPUTED_VALUE"""),"Sumbangan Panti ")</f>
        <v xml:space="preserve">Sumbangan Panti </v>
      </c>
      <c r="R30" s="7" t="str">
        <f ca="1">IFERROR(__xludf.DUMMYFUNCTION("""COMPUTED_VALUE"""),"One Time")</f>
        <v>One Time</v>
      </c>
      <c r="S30" s="7">
        <f ca="1">IFERROR(__xludf.DUMMYFUNCTION("""COMPUTED_VALUE"""),1)</f>
        <v>1</v>
      </c>
      <c r="T30" s="16" t="str">
        <f ca="1">IFERROR(__xludf.DUMMYFUNCTION("""COMPUTED_VALUE"""),"bulan ")</f>
        <v xml:space="preserve">bulan </v>
      </c>
      <c r="U30" s="17">
        <f ca="1">IFERROR(__xludf.DUMMYFUNCTION("""COMPUTED_VALUE"""),188000)</f>
        <v>188000</v>
      </c>
      <c r="V30" s="17">
        <f ca="1">IFERROR(__xludf.DUMMYFUNCTION("""COMPUTED_VALUE"""),188000)</f>
        <v>188000</v>
      </c>
      <c r="W30" s="7" t="str">
        <f ca="1">IFERROR(__xludf.DUMMYFUNCTION("""COMPUTED_VALUE"""),"Global Mart ")</f>
        <v xml:space="preserve">Global Mart </v>
      </c>
    </row>
    <row r="31" spans="1:25" ht="12.5" x14ac:dyDescent="0.25">
      <c r="A31" s="12"/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/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/>
      <c r="B33" s="12">
        <v>1</v>
      </c>
      <c r="C33" s="12" t="s">
        <v>10</v>
      </c>
      <c r="D33" s="13" t="s">
        <v>49</v>
      </c>
      <c r="E33" s="12" t="s">
        <v>22</v>
      </c>
      <c r="F33" s="12">
        <v>1</v>
      </c>
      <c r="G33" s="14" t="s">
        <v>23</v>
      </c>
      <c r="H33" s="15">
        <v>1500000</v>
      </c>
      <c r="I33" s="15">
        <f t="shared" si="0"/>
        <v>1500000</v>
      </c>
      <c r="J33" s="13" t="s">
        <v>50</v>
      </c>
      <c r="U33" s="18"/>
      <c r="V33" s="18"/>
    </row>
    <row r="34" spans="1:22" ht="12.5" x14ac:dyDescent="0.25">
      <c r="A34" s="12"/>
      <c r="B34" s="12">
        <v>31</v>
      </c>
      <c r="C34" s="12" t="s">
        <v>51</v>
      </c>
      <c r="D34" s="13" t="s">
        <v>52</v>
      </c>
      <c r="E34" s="12" t="s">
        <v>22</v>
      </c>
      <c r="F34" s="12">
        <v>1</v>
      </c>
      <c r="G34" s="14" t="s">
        <v>23</v>
      </c>
      <c r="H34" s="15">
        <v>98000</v>
      </c>
      <c r="I34" s="15">
        <f t="shared" si="0"/>
        <v>98000</v>
      </c>
      <c r="J34" s="13" t="s">
        <v>53</v>
      </c>
      <c r="U34" s="18"/>
      <c r="V34" s="18"/>
    </row>
    <row r="35" spans="1:22" ht="12.5" x14ac:dyDescent="0.25">
      <c r="A35" s="12"/>
      <c r="B35" s="12">
        <v>31</v>
      </c>
      <c r="C35" s="12" t="s">
        <v>51</v>
      </c>
      <c r="D35" s="13" t="s">
        <v>54</v>
      </c>
      <c r="E35" s="12" t="s">
        <v>22</v>
      </c>
      <c r="F35" s="12">
        <v>1</v>
      </c>
      <c r="G35" s="14" t="s">
        <v>23</v>
      </c>
      <c r="H35" s="15">
        <v>110000</v>
      </c>
      <c r="I35" s="15">
        <f t="shared" si="0"/>
        <v>110000</v>
      </c>
      <c r="J35" s="13" t="s">
        <v>55</v>
      </c>
      <c r="U35" s="18"/>
      <c r="V35" s="18"/>
    </row>
    <row r="36" spans="1:22" ht="12.5" x14ac:dyDescent="0.25">
      <c r="A36" s="12"/>
      <c r="B36" s="12">
        <v>31</v>
      </c>
      <c r="C36" s="12" t="s">
        <v>51</v>
      </c>
      <c r="D36" s="13" t="s">
        <v>56</v>
      </c>
      <c r="E36" s="12" t="s">
        <v>22</v>
      </c>
      <c r="F36" s="12">
        <v>1</v>
      </c>
      <c r="G36" s="14" t="s">
        <v>23</v>
      </c>
      <c r="H36" s="15">
        <v>125000</v>
      </c>
      <c r="I36" s="15">
        <f t="shared" si="0"/>
        <v>125000</v>
      </c>
      <c r="J36" s="13" t="s">
        <v>57</v>
      </c>
      <c r="U36" s="18"/>
      <c r="V36" s="18"/>
    </row>
    <row r="37" spans="1:22" ht="12.5" x14ac:dyDescent="0.25">
      <c r="A37" s="12"/>
      <c r="B37" s="12">
        <v>31</v>
      </c>
      <c r="C37" s="12" t="s">
        <v>51</v>
      </c>
      <c r="D37" s="13" t="s">
        <v>58</v>
      </c>
      <c r="E37" s="12" t="s">
        <v>22</v>
      </c>
      <c r="F37" s="12">
        <v>1</v>
      </c>
      <c r="G37" s="14" t="s">
        <v>23</v>
      </c>
      <c r="H37" s="15">
        <v>173000</v>
      </c>
      <c r="I37" s="15">
        <f t="shared" si="0"/>
        <v>173000</v>
      </c>
      <c r="J37" s="13" t="s">
        <v>59</v>
      </c>
      <c r="U37" s="18"/>
      <c r="V37" s="18"/>
    </row>
    <row r="38" spans="1:22" ht="12.5" x14ac:dyDescent="0.25">
      <c r="A38" s="12"/>
      <c r="B38" s="12">
        <v>31</v>
      </c>
      <c r="C38" s="12" t="s">
        <v>51</v>
      </c>
      <c r="D38" s="13" t="s">
        <v>60</v>
      </c>
      <c r="E38" s="12" t="s">
        <v>22</v>
      </c>
      <c r="F38" s="12">
        <v>1</v>
      </c>
      <c r="G38" s="14" t="s">
        <v>23</v>
      </c>
      <c r="H38" s="15">
        <v>130000</v>
      </c>
      <c r="I38" s="15">
        <f t="shared" si="0"/>
        <v>130000</v>
      </c>
      <c r="J38" s="13" t="s">
        <v>61</v>
      </c>
      <c r="U38" s="18"/>
      <c r="V38" s="18"/>
    </row>
    <row r="39" spans="1:22" ht="12.5" x14ac:dyDescent="0.25">
      <c r="A39" s="12"/>
      <c r="B39" s="12">
        <v>31</v>
      </c>
      <c r="C39" s="12" t="s">
        <v>51</v>
      </c>
      <c r="D39" s="13" t="s">
        <v>60</v>
      </c>
      <c r="E39" s="12" t="s">
        <v>22</v>
      </c>
      <c r="F39" s="12">
        <v>1</v>
      </c>
      <c r="G39" s="14" t="s">
        <v>23</v>
      </c>
      <c r="H39" s="15">
        <v>35000</v>
      </c>
      <c r="I39" s="15">
        <f t="shared" si="0"/>
        <v>35000</v>
      </c>
      <c r="J39" s="13" t="s">
        <v>62</v>
      </c>
      <c r="U39" s="18"/>
      <c r="V39" s="18"/>
    </row>
    <row r="40" spans="1:22" ht="12.5" x14ac:dyDescent="0.25">
      <c r="A40" s="12"/>
      <c r="B40" s="12">
        <v>31</v>
      </c>
      <c r="C40" s="12" t="s">
        <v>51</v>
      </c>
      <c r="D40" s="13" t="s">
        <v>63</v>
      </c>
      <c r="E40" s="12" t="s">
        <v>22</v>
      </c>
      <c r="F40" s="12">
        <v>1</v>
      </c>
      <c r="G40" s="14" t="s">
        <v>23</v>
      </c>
      <c r="H40" s="15">
        <v>0</v>
      </c>
      <c r="I40" s="15">
        <f t="shared" si="0"/>
        <v>0</v>
      </c>
      <c r="J40" s="13" t="s">
        <v>64</v>
      </c>
      <c r="U40" s="18"/>
      <c r="V40" s="18"/>
    </row>
    <row r="41" spans="1:22" ht="12.5" x14ac:dyDescent="0.25">
      <c r="A41" s="12"/>
      <c r="B41" s="12">
        <v>31</v>
      </c>
      <c r="C41" s="12" t="s">
        <v>51</v>
      </c>
      <c r="D41" s="13" t="s">
        <v>65</v>
      </c>
      <c r="E41" s="12" t="s">
        <v>22</v>
      </c>
      <c r="F41" s="12">
        <v>1</v>
      </c>
      <c r="G41" s="14" t="s">
        <v>23</v>
      </c>
      <c r="H41" s="15">
        <v>295000</v>
      </c>
      <c r="I41" s="15">
        <f t="shared" si="0"/>
        <v>295000</v>
      </c>
      <c r="J41" s="13" t="s">
        <v>66</v>
      </c>
    </row>
    <row r="42" spans="1:22" ht="12.5" x14ac:dyDescent="0.25">
      <c r="A42" s="12"/>
      <c r="B42" s="12">
        <v>8</v>
      </c>
      <c r="C42" s="12" t="s">
        <v>10</v>
      </c>
      <c r="D42" s="13" t="s">
        <v>67</v>
      </c>
      <c r="E42" s="12" t="s">
        <v>68</v>
      </c>
      <c r="F42" s="12">
        <v>1</v>
      </c>
      <c r="G42" s="14" t="s">
        <v>23</v>
      </c>
      <c r="H42" s="15">
        <v>188000</v>
      </c>
      <c r="I42" s="15">
        <f t="shared" si="0"/>
        <v>188000</v>
      </c>
      <c r="J42" s="13" t="s">
        <v>69</v>
      </c>
    </row>
    <row r="43" spans="1:22" ht="12.5" x14ac:dyDescent="0.25">
      <c r="A43" s="12"/>
      <c r="B43" s="12">
        <v>12</v>
      </c>
      <c r="C43" s="12" t="s">
        <v>51</v>
      </c>
      <c r="D43" s="13" t="s">
        <v>70</v>
      </c>
      <c r="E43" s="12" t="s">
        <v>22</v>
      </c>
      <c r="F43" s="12">
        <v>1</v>
      </c>
      <c r="G43" s="14" t="s">
        <v>23</v>
      </c>
      <c r="H43" s="15">
        <v>304000</v>
      </c>
      <c r="I43" s="15">
        <f t="shared" si="0"/>
        <v>304000</v>
      </c>
      <c r="J43" s="13" t="s">
        <v>71</v>
      </c>
    </row>
    <row r="44" spans="1:22" ht="12.5" x14ac:dyDescent="0.25">
      <c r="A44" s="12"/>
      <c r="B44" s="12">
        <v>12</v>
      </c>
      <c r="C44" s="12" t="s">
        <v>51</v>
      </c>
      <c r="D44" s="13" t="s">
        <v>72</v>
      </c>
      <c r="E44" s="12" t="s">
        <v>22</v>
      </c>
      <c r="F44" s="12">
        <v>1</v>
      </c>
      <c r="G44" s="14" t="s">
        <v>23</v>
      </c>
      <c r="H44" s="15">
        <v>633000</v>
      </c>
      <c r="I44" s="15">
        <f t="shared" si="0"/>
        <v>633000</v>
      </c>
      <c r="J44" s="13" t="s">
        <v>71</v>
      </c>
    </row>
    <row r="45" spans="1:22" ht="12.5" x14ac:dyDescent="0.25">
      <c r="A45" s="12"/>
      <c r="B45" s="12">
        <v>31</v>
      </c>
      <c r="C45" s="12" t="s">
        <v>73</v>
      </c>
      <c r="D45" s="13" t="s">
        <v>74</v>
      </c>
      <c r="E45" s="12" t="s">
        <v>22</v>
      </c>
      <c r="F45" s="12">
        <v>1</v>
      </c>
      <c r="G45" s="14" t="s">
        <v>23</v>
      </c>
      <c r="H45" s="15">
        <v>88000</v>
      </c>
      <c r="I45" s="15">
        <f t="shared" si="0"/>
        <v>88000</v>
      </c>
      <c r="J45" s="13" t="s">
        <v>75</v>
      </c>
    </row>
    <row r="46" spans="1:22" ht="12.5" x14ac:dyDescent="0.25">
      <c r="A46" s="12"/>
      <c r="B46" s="12">
        <v>26</v>
      </c>
      <c r="C46" s="12" t="s">
        <v>51</v>
      </c>
      <c r="D46" s="13" t="s">
        <v>76</v>
      </c>
      <c r="E46" s="12" t="s">
        <v>22</v>
      </c>
      <c r="F46" s="12">
        <v>1</v>
      </c>
      <c r="G46" s="14" t="s">
        <v>23</v>
      </c>
      <c r="H46" s="15">
        <v>2122000</v>
      </c>
      <c r="I46" s="15">
        <f t="shared" si="0"/>
        <v>2122000</v>
      </c>
      <c r="J46" s="13" t="s">
        <v>77</v>
      </c>
    </row>
    <row r="47" spans="1:22" ht="12.5" x14ac:dyDescent="0.25">
      <c r="A47" s="12"/>
      <c r="B47" s="12">
        <v>24</v>
      </c>
      <c r="C47" s="12" t="s">
        <v>73</v>
      </c>
      <c r="D47" s="13" t="s">
        <v>78</v>
      </c>
      <c r="E47" s="12" t="s">
        <v>22</v>
      </c>
      <c r="F47" s="12">
        <v>1</v>
      </c>
      <c r="G47" s="14" t="s">
        <v>23</v>
      </c>
      <c r="H47" s="15">
        <v>18000</v>
      </c>
      <c r="I47" s="15">
        <f t="shared" si="0"/>
        <v>18000</v>
      </c>
      <c r="J47" s="13" t="s">
        <v>79</v>
      </c>
    </row>
    <row r="48" spans="1:22" ht="12.5" x14ac:dyDescent="0.25">
      <c r="A48" s="12"/>
      <c r="B48" s="12">
        <v>2</v>
      </c>
      <c r="C48" s="12" t="s">
        <v>51</v>
      </c>
      <c r="D48" s="13" t="s">
        <v>80</v>
      </c>
      <c r="E48" s="12" t="s">
        <v>22</v>
      </c>
      <c r="F48" s="12">
        <v>1</v>
      </c>
      <c r="G48" s="14" t="s">
        <v>81</v>
      </c>
      <c r="H48" s="15">
        <v>280000</v>
      </c>
      <c r="I48" s="15">
        <f t="shared" si="0"/>
        <v>280000</v>
      </c>
      <c r="J48" s="13" t="s">
        <v>82</v>
      </c>
    </row>
    <row r="49" spans="1:10" ht="12.5" x14ac:dyDescent="0.25">
      <c r="A49" s="12"/>
      <c r="B49" s="12">
        <v>2</v>
      </c>
      <c r="C49" s="12" t="s">
        <v>83</v>
      </c>
      <c r="D49" s="13" t="s">
        <v>84</v>
      </c>
      <c r="E49" s="12" t="s">
        <v>22</v>
      </c>
      <c r="F49" s="12">
        <v>1</v>
      </c>
      <c r="G49" s="14" t="s">
        <v>81</v>
      </c>
      <c r="H49" s="15">
        <v>465000</v>
      </c>
      <c r="I49" s="15">
        <f t="shared" si="0"/>
        <v>465000</v>
      </c>
      <c r="J49" s="13" t="s">
        <v>85</v>
      </c>
    </row>
    <row r="50" spans="1:10" ht="12.5" x14ac:dyDescent="0.25">
      <c r="A50" s="12"/>
      <c r="B50" s="12">
        <v>2</v>
      </c>
      <c r="C50" s="12" t="s">
        <v>51</v>
      </c>
      <c r="D50" s="13" t="s">
        <v>86</v>
      </c>
      <c r="E50" s="12" t="s">
        <v>22</v>
      </c>
      <c r="F50" s="12">
        <v>1</v>
      </c>
      <c r="G50" s="14" t="s">
        <v>81</v>
      </c>
      <c r="H50" s="15">
        <v>435000</v>
      </c>
      <c r="I50" s="15">
        <f t="shared" si="0"/>
        <v>435000</v>
      </c>
      <c r="J50" s="13" t="s">
        <v>87</v>
      </c>
    </row>
    <row r="51" spans="1:10" ht="12.5" x14ac:dyDescent="0.25">
      <c r="A51" s="12"/>
      <c r="B51" s="12">
        <v>2</v>
      </c>
      <c r="C51" s="12" t="s">
        <v>51</v>
      </c>
      <c r="D51" s="13" t="s">
        <v>88</v>
      </c>
      <c r="E51" s="12" t="s">
        <v>22</v>
      </c>
      <c r="F51" s="12">
        <v>1</v>
      </c>
      <c r="G51" s="14" t="s">
        <v>81</v>
      </c>
      <c r="H51" s="15">
        <v>230000</v>
      </c>
      <c r="I51" s="15">
        <f t="shared" si="0"/>
        <v>230000</v>
      </c>
      <c r="J51" s="13" t="s">
        <v>89</v>
      </c>
    </row>
    <row r="52" spans="1:10" ht="12.5" x14ac:dyDescent="0.25">
      <c r="A52" s="12"/>
      <c r="B52" s="12">
        <v>3</v>
      </c>
      <c r="C52" s="12" t="s">
        <v>51</v>
      </c>
      <c r="D52" s="13" t="s">
        <v>90</v>
      </c>
      <c r="E52" s="12" t="s">
        <v>22</v>
      </c>
      <c r="F52" s="12">
        <v>1</v>
      </c>
      <c r="G52" s="14" t="s">
        <v>81</v>
      </c>
      <c r="H52" s="15">
        <v>175000</v>
      </c>
      <c r="I52" s="15">
        <f t="shared" si="0"/>
        <v>175000</v>
      </c>
      <c r="J52" s="13" t="s">
        <v>91</v>
      </c>
    </row>
    <row r="53" spans="1:10" ht="12.5" x14ac:dyDescent="0.25">
      <c r="A53" s="12"/>
      <c r="B53" s="12">
        <v>4</v>
      </c>
      <c r="C53" s="12" t="s">
        <v>51</v>
      </c>
      <c r="D53" s="13" t="s">
        <v>92</v>
      </c>
      <c r="E53" s="12" t="s">
        <v>22</v>
      </c>
      <c r="F53" s="12">
        <v>1</v>
      </c>
      <c r="G53" s="14" t="s">
        <v>81</v>
      </c>
      <c r="H53" s="15">
        <v>340000</v>
      </c>
      <c r="I53" s="15">
        <f t="shared" si="0"/>
        <v>340000</v>
      </c>
      <c r="J53" s="13" t="s">
        <v>93</v>
      </c>
    </row>
    <row r="54" spans="1:10" ht="12.5" x14ac:dyDescent="0.25">
      <c r="A54" s="12"/>
      <c r="B54" s="12">
        <v>4</v>
      </c>
      <c r="C54" s="12" t="s">
        <v>51</v>
      </c>
      <c r="D54" s="13" t="s">
        <v>94</v>
      </c>
      <c r="E54" s="12" t="s">
        <v>22</v>
      </c>
      <c r="F54" s="12">
        <v>1</v>
      </c>
      <c r="G54" s="14" t="s">
        <v>81</v>
      </c>
      <c r="H54" s="15">
        <v>125000</v>
      </c>
      <c r="I54" s="15">
        <f t="shared" si="0"/>
        <v>125000</v>
      </c>
      <c r="J54" s="13" t="s">
        <v>95</v>
      </c>
    </row>
    <row r="55" spans="1:10" ht="12.5" x14ac:dyDescent="0.25">
      <c r="A55" s="12"/>
      <c r="B55" s="12">
        <v>9</v>
      </c>
      <c r="C55" s="12" t="s">
        <v>51</v>
      </c>
      <c r="D55" s="13" t="s">
        <v>96</v>
      </c>
      <c r="E55" s="12" t="s">
        <v>22</v>
      </c>
      <c r="F55" s="12">
        <v>1</v>
      </c>
      <c r="G55" s="14" t="s">
        <v>81</v>
      </c>
      <c r="H55" s="15">
        <v>235000</v>
      </c>
      <c r="I55" s="15">
        <f t="shared" si="0"/>
        <v>235000</v>
      </c>
      <c r="J55" s="13" t="s">
        <v>97</v>
      </c>
    </row>
    <row r="56" spans="1:10" ht="12.5" x14ac:dyDescent="0.25">
      <c r="A56" s="12"/>
      <c r="B56" s="12">
        <v>10</v>
      </c>
      <c r="C56" s="12" t="s">
        <v>51</v>
      </c>
      <c r="D56" s="13" t="s">
        <v>98</v>
      </c>
      <c r="E56" s="12" t="s">
        <v>22</v>
      </c>
      <c r="F56" s="12">
        <v>1</v>
      </c>
      <c r="G56" s="14" t="s">
        <v>81</v>
      </c>
      <c r="H56" s="15">
        <v>105000</v>
      </c>
      <c r="I56" s="15">
        <f t="shared" si="0"/>
        <v>105000</v>
      </c>
      <c r="J56" s="13" t="s">
        <v>99</v>
      </c>
    </row>
    <row r="57" spans="1:10" ht="12.5" x14ac:dyDescent="0.25">
      <c r="A57" s="12"/>
      <c r="B57" s="12">
        <v>10</v>
      </c>
      <c r="C57" s="12" t="s">
        <v>51</v>
      </c>
      <c r="D57" s="13" t="s">
        <v>96</v>
      </c>
      <c r="E57" s="12" t="s">
        <v>22</v>
      </c>
      <c r="F57" s="12">
        <v>1</v>
      </c>
      <c r="G57" s="14" t="s">
        <v>81</v>
      </c>
      <c r="H57" s="15">
        <v>280000</v>
      </c>
      <c r="I57" s="15">
        <f t="shared" si="0"/>
        <v>280000</v>
      </c>
      <c r="J57" s="13" t="s">
        <v>100</v>
      </c>
    </row>
    <row r="58" spans="1:10" ht="12.5" x14ac:dyDescent="0.25">
      <c r="A58" s="12"/>
      <c r="B58" s="12">
        <v>11</v>
      </c>
      <c r="C58" s="12" t="s">
        <v>51</v>
      </c>
      <c r="D58" s="13" t="s">
        <v>101</v>
      </c>
      <c r="E58" s="12" t="s">
        <v>22</v>
      </c>
      <c r="F58" s="12">
        <v>1</v>
      </c>
      <c r="G58" s="14" t="s">
        <v>81</v>
      </c>
      <c r="H58" s="15">
        <v>210000</v>
      </c>
      <c r="I58" s="15">
        <f t="shared" si="0"/>
        <v>210000</v>
      </c>
      <c r="J58" s="13" t="s">
        <v>102</v>
      </c>
    </row>
    <row r="59" spans="1:10" ht="12.5" x14ac:dyDescent="0.25">
      <c r="A59" s="12"/>
      <c r="B59" s="12">
        <v>15</v>
      </c>
      <c r="C59" s="12" t="s">
        <v>51</v>
      </c>
      <c r="D59" s="13" t="s">
        <v>96</v>
      </c>
      <c r="E59" s="12" t="s">
        <v>22</v>
      </c>
      <c r="F59" s="12">
        <v>1</v>
      </c>
      <c r="G59" s="14" t="s">
        <v>81</v>
      </c>
      <c r="H59" s="15">
        <v>250000</v>
      </c>
      <c r="I59" s="15">
        <f t="shared" si="0"/>
        <v>250000</v>
      </c>
      <c r="J59" s="13" t="s">
        <v>103</v>
      </c>
    </row>
    <row r="60" spans="1:10" ht="12.5" x14ac:dyDescent="0.25">
      <c r="A60" s="12"/>
      <c r="B60" s="12">
        <v>21</v>
      </c>
      <c r="C60" s="12" t="s">
        <v>73</v>
      </c>
      <c r="D60" s="13" t="s">
        <v>74</v>
      </c>
      <c r="E60" s="12" t="s">
        <v>22</v>
      </c>
      <c r="F60" s="12">
        <v>1</v>
      </c>
      <c r="G60" s="14" t="s">
        <v>81</v>
      </c>
      <c r="H60" s="15">
        <v>85000</v>
      </c>
      <c r="I60" s="15">
        <f t="shared" si="0"/>
        <v>85000</v>
      </c>
      <c r="J60" s="13" t="s">
        <v>104</v>
      </c>
    </row>
    <row r="61" spans="1:10" ht="12.5" x14ac:dyDescent="0.25">
      <c r="A61" s="12"/>
      <c r="B61" s="12">
        <v>25</v>
      </c>
      <c r="C61" s="12" t="s">
        <v>83</v>
      </c>
      <c r="D61" s="13" t="s">
        <v>105</v>
      </c>
      <c r="E61" s="12" t="s">
        <v>22</v>
      </c>
      <c r="F61" s="12">
        <v>1</v>
      </c>
      <c r="G61" s="14" t="s">
        <v>81</v>
      </c>
      <c r="H61" s="15">
        <v>100000</v>
      </c>
      <c r="I61" s="15">
        <f t="shared" si="0"/>
        <v>100000</v>
      </c>
      <c r="J61" s="13" t="s">
        <v>106</v>
      </c>
    </row>
    <row r="62" spans="1:10" ht="12.5" x14ac:dyDescent="0.25">
      <c r="A62" s="12"/>
      <c r="B62" s="12">
        <v>25</v>
      </c>
      <c r="C62" s="12" t="s">
        <v>51</v>
      </c>
      <c r="D62" s="13" t="s">
        <v>107</v>
      </c>
      <c r="E62" s="12" t="s">
        <v>22</v>
      </c>
      <c r="F62" s="12">
        <v>1</v>
      </c>
      <c r="G62" s="14" t="s">
        <v>81</v>
      </c>
      <c r="H62" s="15">
        <v>150000</v>
      </c>
      <c r="I62" s="15">
        <f t="shared" si="0"/>
        <v>150000</v>
      </c>
      <c r="J62" s="13" t="s">
        <v>108</v>
      </c>
    </row>
    <row r="63" spans="1:10" ht="12.5" x14ac:dyDescent="0.25">
      <c r="A63" s="12"/>
      <c r="B63" s="12">
        <v>27</v>
      </c>
      <c r="C63" s="12" t="s">
        <v>83</v>
      </c>
      <c r="D63" s="13" t="s">
        <v>109</v>
      </c>
      <c r="E63" s="12" t="s">
        <v>22</v>
      </c>
      <c r="F63" s="12">
        <v>1</v>
      </c>
      <c r="G63" s="14" t="s">
        <v>81</v>
      </c>
      <c r="H63" s="15">
        <v>55000</v>
      </c>
      <c r="I63" s="15">
        <f t="shared" si="0"/>
        <v>55000</v>
      </c>
      <c r="J63" s="13" t="s">
        <v>110</v>
      </c>
    </row>
    <row r="64" spans="1:10" ht="12.5" x14ac:dyDescent="0.25">
      <c r="A64" s="12"/>
      <c r="B64" s="12">
        <v>30</v>
      </c>
      <c r="C64" s="12" t="s">
        <v>51</v>
      </c>
      <c r="D64" s="13" t="s">
        <v>107</v>
      </c>
      <c r="E64" s="12" t="s">
        <v>22</v>
      </c>
      <c r="F64" s="12">
        <v>1</v>
      </c>
      <c r="G64" s="14" t="s">
        <v>81</v>
      </c>
      <c r="H64" s="15">
        <v>65000</v>
      </c>
      <c r="I64" s="15">
        <f t="shared" si="0"/>
        <v>65000</v>
      </c>
      <c r="J64" s="13" t="s">
        <v>111</v>
      </c>
    </row>
    <row r="65" spans="1:10" ht="12.5" x14ac:dyDescent="0.25">
      <c r="A65" s="12"/>
      <c r="B65" s="12"/>
      <c r="C65" s="12"/>
      <c r="D65" s="13"/>
      <c r="E65" s="12"/>
      <c r="F65" s="12"/>
      <c r="G65" s="14"/>
      <c r="H65" s="15"/>
      <c r="I65" s="15">
        <f t="shared" si="0"/>
        <v>0</v>
      </c>
      <c r="J65" s="13"/>
    </row>
    <row r="66" spans="1:10" ht="12.5" x14ac:dyDescent="0.25">
      <c r="A66" s="12"/>
      <c r="B66" s="12"/>
      <c r="C66" s="12"/>
      <c r="D66" s="13"/>
      <c r="E66" s="12"/>
      <c r="F66" s="12"/>
      <c r="G66" s="14"/>
      <c r="H66" s="15"/>
      <c r="I66" s="15">
        <f t="shared" si="0"/>
        <v>0</v>
      </c>
      <c r="J66" s="13"/>
    </row>
    <row r="67" spans="1:10" ht="12.5" x14ac:dyDescent="0.25">
      <c r="A67" s="12"/>
      <c r="B67" s="12"/>
      <c r="C67" s="12"/>
      <c r="D67" s="13"/>
      <c r="E67" s="12"/>
      <c r="F67" s="12"/>
      <c r="G67" s="14"/>
      <c r="H67" s="15"/>
      <c r="I67" s="15">
        <f t="shared" si="0"/>
        <v>0</v>
      </c>
      <c r="J67" s="13"/>
    </row>
    <row r="68" spans="1:10" ht="12.5" x14ac:dyDescent="0.25">
      <c r="A68" s="12"/>
      <c r="B68" s="12"/>
      <c r="C68" s="12"/>
      <c r="D68" s="13"/>
      <c r="E68" s="12"/>
      <c r="F68" s="12"/>
      <c r="G68" s="14"/>
      <c r="H68" s="15"/>
      <c r="I68" s="15">
        <f t="shared" si="0"/>
        <v>0</v>
      </c>
      <c r="J68" s="13"/>
    </row>
    <row r="69" spans="1:10" ht="12.5" x14ac:dyDescent="0.25">
      <c r="A69" s="12"/>
      <c r="B69" s="12"/>
      <c r="C69" s="12"/>
      <c r="D69" s="13"/>
      <c r="E69" s="12"/>
      <c r="F69" s="12"/>
      <c r="G69" s="14"/>
      <c r="H69" s="15"/>
      <c r="I69" s="15">
        <f t="shared" si="0"/>
        <v>0</v>
      </c>
      <c r="J69" s="13"/>
    </row>
    <row r="70" spans="1:10" ht="12.5" x14ac:dyDescent="0.25">
      <c r="A70" s="12"/>
      <c r="B70" s="12"/>
      <c r="C70" s="12"/>
      <c r="D70" s="13"/>
      <c r="E70" s="12"/>
      <c r="F70" s="12"/>
      <c r="G70" s="14"/>
      <c r="H70" s="15"/>
      <c r="I70" s="15">
        <f t="shared" si="0"/>
        <v>0</v>
      </c>
      <c r="J70" s="13"/>
    </row>
    <row r="71" spans="1:10" ht="12.5" x14ac:dyDescent="0.25">
      <c r="A71" s="12"/>
      <c r="B71" s="12"/>
      <c r="C71" s="12"/>
      <c r="D71" s="13"/>
      <c r="E71" s="12"/>
      <c r="F71" s="12"/>
      <c r="G71" s="14"/>
      <c r="H71" s="15"/>
      <c r="I71" s="15">
        <f t="shared" si="0"/>
        <v>0</v>
      </c>
      <c r="J71" s="13"/>
    </row>
    <row r="72" spans="1:10" ht="12.5" x14ac:dyDescent="0.25">
      <c r="A72" s="12"/>
      <c r="B72" s="12"/>
      <c r="C72" s="12"/>
      <c r="D72" s="13"/>
      <c r="E72" s="12"/>
      <c r="F72" s="12"/>
      <c r="G72" s="14"/>
      <c r="H72" s="15"/>
      <c r="I72" s="15">
        <f t="shared" si="0"/>
        <v>0</v>
      </c>
      <c r="J72" s="13"/>
    </row>
    <row r="73" spans="1:10" ht="12.5" x14ac:dyDescent="0.25">
      <c r="A73" s="12"/>
      <c r="B73" s="12"/>
      <c r="C73" s="12"/>
      <c r="D73" s="13"/>
      <c r="E73" s="12"/>
      <c r="F73" s="12"/>
      <c r="G73" s="14"/>
      <c r="H73" s="15"/>
      <c r="I73" s="15">
        <f t="shared" si="0"/>
        <v>0</v>
      </c>
      <c r="J73" s="13"/>
    </row>
    <row r="74" spans="1:10" ht="12.5" x14ac:dyDescent="0.25">
      <c r="A74" s="12"/>
      <c r="B74" s="12"/>
      <c r="C74" s="12"/>
      <c r="D74" s="13"/>
      <c r="E74" s="12"/>
      <c r="F74" s="12"/>
      <c r="G74" s="14"/>
      <c r="H74" s="15"/>
      <c r="I74" s="15">
        <f t="shared" si="0"/>
        <v>0</v>
      </c>
      <c r="J74" s="13"/>
    </row>
    <row r="75" spans="1:10" ht="12.5" x14ac:dyDescent="0.25">
      <c r="A75" s="12"/>
      <c r="B75" s="12"/>
      <c r="C75" s="12"/>
      <c r="D75" s="13"/>
      <c r="E75" s="12"/>
      <c r="F75" s="12"/>
      <c r="G75" s="14"/>
      <c r="H75" s="15"/>
      <c r="I75" s="15">
        <f t="shared" si="0"/>
        <v>0</v>
      </c>
      <c r="J75" s="13"/>
    </row>
    <row r="76" spans="1:10" ht="12.5" x14ac:dyDescent="0.25">
      <c r="A76" s="12"/>
      <c r="B76" s="12"/>
      <c r="C76" s="12"/>
      <c r="D76" s="13"/>
      <c r="E76" s="12"/>
      <c r="F76" s="12"/>
      <c r="G76" s="14"/>
      <c r="H76" s="15"/>
      <c r="I76" s="15">
        <f t="shared" si="0"/>
        <v>0</v>
      </c>
      <c r="J76" s="13"/>
    </row>
    <row r="77" spans="1:10" ht="12.5" x14ac:dyDescent="0.25">
      <c r="A77" s="12"/>
      <c r="B77" s="12"/>
      <c r="C77" s="12"/>
      <c r="D77" s="13"/>
      <c r="E77" s="12"/>
      <c r="F77" s="12"/>
      <c r="G77" s="14"/>
      <c r="H77" s="15"/>
      <c r="I77" s="15">
        <f t="shared" si="0"/>
        <v>0</v>
      </c>
      <c r="J77" s="13"/>
    </row>
    <row r="78" spans="1:10" ht="12.5" x14ac:dyDescent="0.25">
      <c r="A78" s="12"/>
      <c r="B78" s="12"/>
      <c r="C78" s="12"/>
      <c r="D78" s="13"/>
      <c r="E78" s="12"/>
      <c r="F78" s="12"/>
      <c r="G78" s="14"/>
      <c r="H78" s="15"/>
      <c r="I78" s="15">
        <f t="shared" si="0"/>
        <v>0</v>
      </c>
      <c r="J78" s="13"/>
    </row>
    <row r="79" spans="1:10" ht="12.5" x14ac:dyDescent="0.25">
      <c r="A79" s="12"/>
      <c r="B79" s="12"/>
      <c r="C79" s="12"/>
      <c r="D79" s="13"/>
      <c r="E79" s="12"/>
      <c r="F79" s="12"/>
      <c r="G79" s="14"/>
      <c r="H79" s="15"/>
      <c r="I79" s="15">
        <f t="shared" si="0"/>
        <v>0</v>
      </c>
      <c r="J79" s="13"/>
    </row>
    <row r="80" spans="1:10" ht="12.5" x14ac:dyDescent="0.25">
      <c r="A80" s="12"/>
      <c r="B80" s="12"/>
      <c r="C80" s="12"/>
      <c r="D80" s="13"/>
      <c r="E80" s="12"/>
      <c r="F80" s="12"/>
      <c r="G80" s="14"/>
      <c r="H80" s="15"/>
      <c r="I80" s="15">
        <f t="shared" si="0"/>
        <v>0</v>
      </c>
      <c r="J80" s="13"/>
    </row>
    <row r="81" spans="1:10" ht="12.5" x14ac:dyDescent="0.25">
      <c r="A81" s="12"/>
      <c r="B81" s="12"/>
      <c r="C81" s="12"/>
      <c r="D81" s="13"/>
      <c r="E81" s="12"/>
      <c r="F81" s="12"/>
      <c r="G81" s="14"/>
      <c r="H81" s="15"/>
      <c r="I81" s="15">
        <f t="shared" si="0"/>
        <v>0</v>
      </c>
      <c r="J81" s="13"/>
    </row>
    <row r="82" spans="1:10" ht="12.5" x14ac:dyDescent="0.25">
      <c r="A82" s="12"/>
      <c r="B82" s="12"/>
      <c r="C82" s="12"/>
      <c r="D82" s="13"/>
      <c r="E82" s="12"/>
      <c r="F82" s="12"/>
      <c r="G82" s="14"/>
      <c r="H82" s="15"/>
      <c r="I82" s="15">
        <f t="shared" si="0"/>
        <v>0</v>
      </c>
      <c r="J82" s="13"/>
    </row>
    <row r="83" spans="1:10" ht="12.5" x14ac:dyDescent="0.25">
      <c r="A83" s="12"/>
      <c r="B83" s="12"/>
      <c r="C83" s="12"/>
      <c r="D83" s="13"/>
      <c r="E83" s="12"/>
      <c r="F83" s="12"/>
      <c r="G83" s="14"/>
      <c r="H83" s="15"/>
      <c r="I83" s="15">
        <f t="shared" si="0"/>
        <v>0</v>
      </c>
      <c r="J83" s="13"/>
    </row>
    <row r="84" spans="1:10" ht="12.5" x14ac:dyDescent="0.25">
      <c r="A84" s="12"/>
      <c r="B84" s="12"/>
      <c r="C84" s="12"/>
      <c r="D84" s="13"/>
      <c r="E84" s="12"/>
      <c r="F84" s="12"/>
      <c r="G84" s="14"/>
      <c r="H84" s="15"/>
      <c r="I84" s="15">
        <f t="shared" si="0"/>
        <v>0</v>
      </c>
      <c r="J84" s="13"/>
    </row>
    <row r="85" spans="1:10" ht="12.5" x14ac:dyDescent="0.25">
      <c r="A85" s="12"/>
      <c r="B85" s="12"/>
      <c r="C85" s="12"/>
      <c r="D85" s="13"/>
      <c r="E85" s="12"/>
      <c r="F85" s="12"/>
      <c r="G85" s="14"/>
      <c r="H85" s="15"/>
      <c r="I85" s="15">
        <f t="shared" si="0"/>
        <v>0</v>
      </c>
      <c r="J85" s="13"/>
    </row>
    <row r="86" spans="1:10" ht="12.5" x14ac:dyDescent="0.25">
      <c r="A86" s="12"/>
      <c r="B86" s="12"/>
      <c r="C86" s="12"/>
      <c r="D86" s="13"/>
      <c r="E86" s="12"/>
      <c r="F86" s="12"/>
      <c r="G86" s="14"/>
      <c r="H86" s="15"/>
      <c r="I86" s="15">
        <f t="shared" si="0"/>
        <v>0</v>
      </c>
      <c r="J86" s="13"/>
    </row>
    <row r="87" spans="1:10" ht="12.5" x14ac:dyDescent="0.25">
      <c r="A87" s="12"/>
      <c r="B87" s="12"/>
      <c r="C87" s="12"/>
      <c r="D87" s="13"/>
      <c r="E87" s="12"/>
      <c r="F87" s="12"/>
      <c r="G87" s="14"/>
      <c r="H87" s="15"/>
      <c r="I87" s="15">
        <f t="shared" si="0"/>
        <v>0</v>
      </c>
      <c r="J87" s="13"/>
    </row>
    <row r="88" spans="1:10" ht="12.5" x14ac:dyDescent="0.25">
      <c r="A88" s="12"/>
      <c r="B88" s="12"/>
      <c r="C88" s="12"/>
      <c r="D88" s="13"/>
      <c r="E88" s="12"/>
      <c r="F88" s="12"/>
      <c r="G88" s="14"/>
      <c r="H88" s="15"/>
      <c r="I88" s="15">
        <f t="shared" si="0"/>
        <v>0</v>
      </c>
      <c r="J88" s="13"/>
    </row>
    <row r="89" spans="1:10" ht="12.5" x14ac:dyDescent="0.25">
      <c r="A89" s="12"/>
      <c r="B89" s="12"/>
      <c r="C89" s="12"/>
      <c r="D89" s="13"/>
      <c r="E89" s="12"/>
      <c r="F89" s="12"/>
      <c r="G89" s="14"/>
      <c r="H89" s="15"/>
      <c r="I89" s="15">
        <f t="shared" si="0"/>
        <v>0</v>
      </c>
      <c r="J89" s="13"/>
    </row>
    <row r="90" spans="1:10" ht="12.5" x14ac:dyDescent="0.25">
      <c r="A90" s="12"/>
      <c r="B90" s="12"/>
      <c r="C90" s="12"/>
      <c r="D90" s="13"/>
      <c r="E90" s="12"/>
      <c r="F90" s="12"/>
      <c r="G90" s="14"/>
      <c r="H90" s="15"/>
      <c r="I90" s="15">
        <f t="shared" si="0"/>
        <v>0</v>
      </c>
      <c r="J90" s="13"/>
    </row>
    <row r="91" spans="1:10" ht="12.5" x14ac:dyDescent="0.25">
      <c r="A91" s="12"/>
      <c r="B91" s="12"/>
      <c r="C91" s="12"/>
      <c r="D91" s="13"/>
      <c r="E91" s="12"/>
      <c r="F91" s="12"/>
      <c r="G91" s="14"/>
      <c r="H91" s="15"/>
      <c r="I91" s="15">
        <f t="shared" si="0"/>
        <v>0</v>
      </c>
      <c r="J91" s="13"/>
    </row>
    <row r="92" spans="1:10" ht="12.5" x14ac:dyDescent="0.25">
      <c r="A92" s="12"/>
      <c r="B92" s="12"/>
      <c r="C92" s="12"/>
      <c r="D92" s="13"/>
      <c r="E92" s="12"/>
      <c r="F92" s="12"/>
      <c r="G92" s="14"/>
      <c r="H92" s="15"/>
      <c r="I92" s="15">
        <f t="shared" si="0"/>
        <v>0</v>
      </c>
      <c r="J92" s="13"/>
    </row>
    <row r="93" spans="1:10" ht="12.5" x14ac:dyDescent="0.25">
      <c r="A93" s="12"/>
      <c r="B93" s="12"/>
      <c r="C93" s="12"/>
      <c r="D93" s="13"/>
      <c r="E93" s="12"/>
      <c r="F93" s="12"/>
      <c r="G93" s="14"/>
      <c r="H93" s="15"/>
      <c r="I93" s="15">
        <f t="shared" si="0"/>
        <v>0</v>
      </c>
      <c r="J93" s="13"/>
    </row>
    <row r="94" spans="1:10" ht="12.5" x14ac:dyDescent="0.25">
      <c r="A94" s="12"/>
      <c r="B94" s="12"/>
      <c r="C94" s="12"/>
      <c r="D94" s="13"/>
      <c r="E94" s="12"/>
      <c r="F94" s="12"/>
      <c r="G94" s="14"/>
      <c r="H94" s="15"/>
      <c r="I94" s="15">
        <f t="shared" si="0"/>
        <v>0</v>
      </c>
      <c r="J94" s="13"/>
    </row>
    <row r="95" spans="1:10" ht="12.5" x14ac:dyDescent="0.25">
      <c r="A95" s="12"/>
      <c r="B95" s="12"/>
      <c r="C95" s="12"/>
      <c r="D95" s="13"/>
      <c r="E95" s="12"/>
      <c r="F95" s="12"/>
      <c r="G95" s="14"/>
      <c r="H95" s="15"/>
      <c r="I95" s="15">
        <f t="shared" si="0"/>
        <v>0</v>
      </c>
      <c r="J95" s="13"/>
    </row>
    <row r="96" spans="1:10" ht="12.5" x14ac:dyDescent="0.25">
      <c r="A96" s="12"/>
      <c r="B96" s="12"/>
      <c r="C96" s="12"/>
      <c r="D96" s="13"/>
      <c r="E96" s="12"/>
      <c r="F96" s="12"/>
      <c r="G96" s="14"/>
      <c r="H96" s="15"/>
      <c r="I96" s="15">
        <f t="shared" si="0"/>
        <v>0</v>
      </c>
      <c r="J96" s="13"/>
    </row>
    <row r="97" spans="1:10" ht="12.5" x14ac:dyDescent="0.25">
      <c r="A97" s="12"/>
      <c r="B97" s="12"/>
      <c r="C97" s="12"/>
      <c r="D97" s="13"/>
      <c r="E97" s="12"/>
      <c r="F97" s="12"/>
      <c r="G97" s="14"/>
      <c r="H97" s="15"/>
      <c r="I97" s="15">
        <f t="shared" si="0"/>
        <v>0</v>
      </c>
      <c r="J97" s="13"/>
    </row>
    <row r="98" spans="1:10" ht="12.5" x14ac:dyDescent="0.25">
      <c r="A98" s="12"/>
      <c r="B98" s="12"/>
      <c r="C98" s="12"/>
      <c r="D98" s="13"/>
      <c r="E98" s="12"/>
      <c r="F98" s="12"/>
      <c r="G98" s="14"/>
      <c r="H98" s="15"/>
      <c r="I98" s="15">
        <f t="shared" si="0"/>
        <v>0</v>
      </c>
      <c r="J98" s="13"/>
    </row>
    <row r="99" spans="1:10" ht="12.5" x14ac:dyDescent="0.25">
      <c r="A99" s="12"/>
      <c r="B99" s="12"/>
      <c r="C99" s="12"/>
      <c r="D99" s="13"/>
      <c r="E99" s="12"/>
      <c r="F99" s="12"/>
      <c r="G99" s="14"/>
      <c r="H99" s="15"/>
      <c r="I99" s="15">
        <f t="shared" si="0"/>
        <v>0</v>
      </c>
      <c r="J99" s="13"/>
    </row>
    <row r="100" spans="1:10" ht="12.5" x14ac:dyDescent="0.25">
      <c r="A100" s="12"/>
      <c r="B100" s="12"/>
      <c r="C100" s="12"/>
      <c r="D100" s="13"/>
      <c r="E100" s="12"/>
      <c r="F100" s="12"/>
      <c r="G100" s="14"/>
      <c r="H100" s="15"/>
      <c r="I100" s="15">
        <f t="shared" si="0"/>
        <v>0</v>
      </c>
      <c r="J100" s="13"/>
    </row>
    <row r="101" spans="1:10" ht="12.5" x14ac:dyDescent="0.25">
      <c r="A101" s="12"/>
      <c r="B101" s="12"/>
      <c r="C101" s="12"/>
      <c r="D101" s="13"/>
      <c r="E101" s="12"/>
      <c r="F101" s="12"/>
      <c r="G101" s="14"/>
      <c r="H101" s="15"/>
      <c r="I101" s="15">
        <f t="shared" si="0"/>
        <v>0</v>
      </c>
      <c r="J101" s="13"/>
    </row>
    <row r="102" spans="1:10" ht="12.5" x14ac:dyDescent="0.25">
      <c r="A102" s="12"/>
      <c r="B102" s="12"/>
      <c r="C102" s="12"/>
      <c r="D102" s="13"/>
      <c r="E102" s="12"/>
      <c r="F102" s="12"/>
      <c r="G102" s="14"/>
      <c r="H102" s="15"/>
      <c r="I102" s="15">
        <f t="shared" si="0"/>
        <v>0</v>
      </c>
      <c r="J102" s="13"/>
    </row>
    <row r="103" spans="1:10" ht="12.5" x14ac:dyDescent="0.25">
      <c r="A103" s="12"/>
      <c r="B103" s="12"/>
      <c r="C103" s="12"/>
      <c r="D103" s="13"/>
      <c r="E103" s="12"/>
      <c r="F103" s="12"/>
      <c r="G103" s="14"/>
      <c r="H103" s="15"/>
      <c r="I103" s="15">
        <f t="shared" si="0"/>
        <v>0</v>
      </c>
      <c r="J103" s="13"/>
    </row>
    <row r="104" spans="1:10" ht="12.5" x14ac:dyDescent="0.25">
      <c r="A104" s="12"/>
      <c r="B104" s="12"/>
      <c r="C104" s="12"/>
      <c r="D104" s="13"/>
      <c r="E104" s="12"/>
      <c r="F104" s="12"/>
      <c r="G104" s="14"/>
      <c r="H104" s="15"/>
      <c r="I104" s="15">
        <f t="shared" si="0"/>
        <v>0</v>
      </c>
      <c r="J104" s="13"/>
    </row>
    <row r="105" spans="1:10" ht="12.5" x14ac:dyDescent="0.25">
      <c r="A105" s="12"/>
      <c r="B105" s="12"/>
      <c r="C105" s="12"/>
      <c r="D105" s="13"/>
      <c r="E105" s="12"/>
      <c r="F105" s="12"/>
      <c r="G105" s="14"/>
      <c r="H105" s="15"/>
      <c r="I105" s="15">
        <f t="shared" si="0"/>
        <v>0</v>
      </c>
      <c r="J105" s="13"/>
    </row>
    <row r="106" spans="1:10" ht="12.5" x14ac:dyDescent="0.25">
      <c r="A106" s="12"/>
      <c r="B106" s="12"/>
      <c r="C106" s="12"/>
      <c r="D106" s="13"/>
      <c r="E106" s="12"/>
      <c r="F106" s="12"/>
      <c r="G106" s="14"/>
      <c r="H106" s="15"/>
      <c r="I106" s="15">
        <f t="shared" si="0"/>
        <v>0</v>
      </c>
      <c r="J106" s="13"/>
    </row>
    <row r="107" spans="1:10" ht="12.5" x14ac:dyDescent="0.25">
      <c r="A107" s="12"/>
      <c r="B107" s="12"/>
      <c r="C107" s="12"/>
      <c r="D107" s="13"/>
      <c r="E107" s="12"/>
      <c r="F107" s="12"/>
      <c r="G107" s="14"/>
      <c r="H107" s="15"/>
      <c r="I107" s="15">
        <f t="shared" si="0"/>
        <v>0</v>
      </c>
      <c r="J107" s="13"/>
    </row>
    <row r="108" spans="1:10" ht="12.5" x14ac:dyDescent="0.25">
      <c r="A108" s="12"/>
      <c r="B108" s="12"/>
      <c r="C108" s="12"/>
      <c r="D108" s="13"/>
      <c r="E108" s="12"/>
      <c r="F108" s="12"/>
      <c r="G108" s="14"/>
      <c r="H108" s="15"/>
      <c r="I108" s="15">
        <f t="shared" si="0"/>
        <v>0</v>
      </c>
      <c r="J108" s="13"/>
    </row>
    <row r="109" spans="1:10" ht="12.5" x14ac:dyDescent="0.25">
      <c r="A109" s="12"/>
      <c r="B109" s="12"/>
      <c r="C109" s="12"/>
      <c r="D109" s="13"/>
      <c r="E109" s="12"/>
      <c r="F109" s="12"/>
      <c r="G109" s="14"/>
      <c r="H109" s="15"/>
      <c r="I109" s="15">
        <f t="shared" si="0"/>
        <v>0</v>
      </c>
      <c r="J109" s="13"/>
    </row>
    <row r="110" spans="1:10" ht="12.5" x14ac:dyDescent="0.25">
      <c r="A110" s="12"/>
      <c r="B110" s="12"/>
      <c r="C110" s="12"/>
      <c r="D110" s="13"/>
      <c r="E110" s="12"/>
      <c r="F110" s="12"/>
      <c r="G110" s="14"/>
      <c r="H110" s="15"/>
      <c r="I110" s="15">
        <f t="shared" si="0"/>
        <v>0</v>
      </c>
      <c r="J110" s="13"/>
    </row>
    <row r="111" spans="1:10" ht="12.5" x14ac:dyDescent="0.25">
      <c r="A111" s="12"/>
      <c r="B111" s="12"/>
      <c r="C111" s="12"/>
      <c r="D111" s="13"/>
      <c r="E111" s="12"/>
      <c r="F111" s="12"/>
      <c r="G111" s="14"/>
      <c r="H111" s="15"/>
      <c r="I111" s="15">
        <f t="shared" si="0"/>
        <v>0</v>
      </c>
      <c r="J111" s="13"/>
    </row>
    <row r="112" spans="1:10" ht="12.5" x14ac:dyDescent="0.25">
      <c r="A112" s="12"/>
      <c r="B112" s="12"/>
      <c r="C112" s="12"/>
      <c r="D112" s="13"/>
      <c r="E112" s="12"/>
      <c r="F112" s="12"/>
      <c r="G112" s="14"/>
      <c r="H112" s="15"/>
      <c r="I112" s="15">
        <f t="shared" si="0"/>
        <v>0</v>
      </c>
      <c r="J112" s="13"/>
    </row>
    <row r="113" spans="1:10" ht="12.5" x14ac:dyDescent="0.25">
      <c r="A113" s="12"/>
      <c r="B113" s="12"/>
      <c r="C113" s="12"/>
      <c r="D113" s="13"/>
      <c r="E113" s="12"/>
      <c r="F113" s="12"/>
      <c r="G113" s="14"/>
      <c r="H113" s="15"/>
      <c r="I113" s="15">
        <f t="shared" si="0"/>
        <v>0</v>
      </c>
      <c r="J113" s="13"/>
    </row>
    <row r="114" spans="1:10" ht="12.5" x14ac:dyDescent="0.25">
      <c r="A114" s="12"/>
      <c r="B114" s="12"/>
      <c r="C114" s="12"/>
      <c r="D114" s="13"/>
      <c r="E114" s="12"/>
      <c r="F114" s="12"/>
      <c r="G114" s="14"/>
      <c r="H114" s="15"/>
      <c r="I114" s="15">
        <f t="shared" si="0"/>
        <v>0</v>
      </c>
      <c r="J114" s="13"/>
    </row>
    <row r="115" spans="1:10" ht="12.5" x14ac:dyDescent="0.25">
      <c r="A115" s="12"/>
      <c r="B115" s="12"/>
      <c r="C115" s="12"/>
      <c r="D115" s="13"/>
      <c r="E115" s="12"/>
      <c r="F115" s="12"/>
      <c r="G115" s="14"/>
      <c r="H115" s="15"/>
      <c r="I115" s="15">
        <f t="shared" si="0"/>
        <v>0</v>
      </c>
      <c r="J115" s="13"/>
    </row>
    <row r="116" spans="1:10" ht="12.5" x14ac:dyDescent="0.25">
      <c r="A116" s="12"/>
      <c r="B116" s="12"/>
      <c r="C116" s="12"/>
      <c r="D116" s="13"/>
      <c r="E116" s="12"/>
      <c r="F116" s="12"/>
      <c r="G116" s="14"/>
      <c r="H116" s="15"/>
      <c r="I116" s="15">
        <f t="shared" si="0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0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A195" s="12"/>
      <c r="B195" s="12"/>
      <c r="C195" s="12"/>
      <c r="D195" s="13"/>
      <c r="E195" s="12"/>
      <c r="F195" s="12"/>
      <c r="G195" s="14"/>
      <c r="H195" s="15"/>
      <c r="I195" s="15">
        <f t="shared" si="0"/>
        <v>0</v>
      </c>
      <c r="J195" s="13"/>
    </row>
    <row r="196" spans="1:10" ht="12.5" x14ac:dyDescent="0.25">
      <c r="A196" s="12"/>
      <c r="B196" s="12"/>
      <c r="C196" s="12"/>
      <c r="D196" s="13"/>
      <c r="E196" s="12"/>
      <c r="F196" s="12"/>
      <c r="G196" s="14"/>
      <c r="H196" s="15"/>
      <c r="I196" s="15">
        <f t="shared" si="0"/>
        <v>0</v>
      </c>
      <c r="J196" s="13"/>
    </row>
    <row r="197" spans="1:10" ht="12.5" x14ac:dyDescent="0.25">
      <c r="A197" s="12"/>
      <c r="B197" s="12"/>
      <c r="C197" s="12"/>
      <c r="D197" s="13"/>
      <c r="E197" s="12"/>
      <c r="F197" s="12"/>
      <c r="G197" s="14"/>
      <c r="H197" s="15"/>
      <c r="I197" s="15">
        <f t="shared" si="0"/>
        <v>0</v>
      </c>
      <c r="J197" s="13"/>
    </row>
    <row r="198" spans="1:10" ht="12.5" x14ac:dyDescent="0.25">
      <c r="A198" s="12"/>
      <c r="B198" s="12"/>
      <c r="C198" s="12"/>
      <c r="D198" s="13"/>
      <c r="E198" s="12"/>
      <c r="F198" s="12"/>
      <c r="G198" s="14"/>
      <c r="H198" s="15"/>
      <c r="I198" s="15">
        <f t="shared" si="0"/>
        <v>0</v>
      </c>
      <c r="J198" s="13"/>
    </row>
    <row r="199" spans="1:10" ht="12.5" x14ac:dyDescent="0.25">
      <c r="A199" s="12"/>
      <c r="B199" s="12"/>
      <c r="C199" s="12"/>
      <c r="D199" s="13"/>
      <c r="E199" s="12"/>
      <c r="F199" s="12"/>
      <c r="G199" s="14"/>
      <c r="H199" s="15"/>
      <c r="I199" s="15">
        <f t="shared" si="0"/>
        <v>0</v>
      </c>
      <c r="J199" s="13"/>
    </row>
    <row r="200" spans="1:10" ht="12.5" x14ac:dyDescent="0.25">
      <c r="A200" s="12"/>
      <c r="B200" s="12"/>
      <c r="C200" s="12"/>
      <c r="D200" s="13"/>
      <c r="E200" s="12"/>
      <c r="F200" s="12"/>
      <c r="G200" s="14"/>
      <c r="H200" s="15"/>
      <c r="I200" s="15">
        <f t="shared" si="0"/>
        <v>0</v>
      </c>
      <c r="J200" s="13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J1009" s="18"/>
    </row>
    <row r="1010" spans="6:10" ht="12.5" x14ac:dyDescent="0.25">
      <c r="J1010" s="18"/>
    </row>
    <row r="1011" spans="6:10" ht="12.5" x14ac:dyDescent="0.25">
      <c r="J1011" s="18"/>
    </row>
    <row r="1012" spans="6:10" ht="12.5" x14ac:dyDescent="0.25">
      <c r="J1012" s="18"/>
    </row>
    <row r="1013" spans="6:10" ht="12.5" x14ac:dyDescent="0.25">
      <c r="J1013" s="18"/>
    </row>
    <row r="1014" spans="6:10" ht="12.5" x14ac:dyDescent="0.25">
      <c r="J1014" s="18"/>
    </row>
    <row r="1015" spans="6:10" ht="12.5" x14ac:dyDescent="0.25">
      <c r="F1015" s="12"/>
      <c r="J1015" s="18"/>
    </row>
  </sheetData>
  <autoFilter ref="A19:J200" xr:uid="{00000000-0009-0000-0000-000000000000}">
    <sortState xmlns:xlrd2="http://schemas.microsoft.com/office/spreadsheetml/2017/richdata2" ref="A19:J200">
      <sortCondition ref="B19:B200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2">
    <dataValidation type="list" allowBlank="1" showErrorMessage="1" sqref="E20:E200" xr:uid="{00000000-0002-0000-0000-000000000000}">
      <formula1>"One Time,Reccuring"</formula1>
    </dataValidation>
    <dataValidation type="list" allowBlank="1" showErrorMessage="1" sqref="P18 C20:C200" xr:uid="{00000000-0002-0000-0000-000001000000}">
      <formula1>"Stock Dagangan,Stock Bahan,Operational,Packing,Tenant,Gaji Karyawan"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155CC"/>
    <outlinePr summaryBelow="0" summaryRight="0"/>
  </sheetPr>
  <dimension ref="A1:Y1010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Revenue'!AL24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26221062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269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35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SUM(H:H)</f>
        <v>26221062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4392562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195" si="0">F20*H20</f>
        <v>2000000</v>
      </c>
      <c r="J20" s="13" t="s">
        <v>24</v>
      </c>
      <c r="K20" s="23"/>
      <c r="L20" s="23"/>
      <c r="N20" s="7" t="str">
        <f ca="1">IFERROR(__xludf.DUMMYFUNCTION("filter(A20:J195,C20:C195=P18)"),"7")</f>
        <v>7</v>
      </c>
      <c r="O20" s="7">
        <f ca="1">IFERROR(__xludf.DUMMYFUNCTION("""COMPUTED_VALUE"""),1)</f>
        <v>1</v>
      </c>
      <c r="P20" s="7" t="str">
        <f ca="1">IFERROR(__xludf.DUMMYFUNCTION("""COMPUTED_VALUE"""),"Gaji Karyawan")</f>
        <v>Gaji Karyawan</v>
      </c>
      <c r="Q20" s="7" t="str">
        <f ca="1">IFERROR(__xludf.DUMMYFUNCTION("""COMPUTED_VALUE"""),"Gaji Store ")</f>
        <v xml:space="preserve">Gaji Store 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IFERROR(__xludf.DUMMYFUNCTION("""COMPUTED_VALUE"""),2221281)</f>
        <v>2221281</v>
      </c>
      <c r="V20" s="17">
        <f ca="1">IFERROR(__xludf.DUMMYFUNCTION("""COMPUTED_VALUE"""),2221281)</f>
        <v>2221281</v>
      </c>
      <c r="W20" s="7" t="str">
        <f ca="1">IFERROR(__xludf.DUMMYFUNCTION("""COMPUTED_VALUE"""),"Ilmi ")</f>
        <v xml:space="preserve">Ilmi 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IFERROR(__xludf.DUMMYFUNCTION("""COMPUTED_VALUE"""),"8")</f>
        <v>8</v>
      </c>
      <c r="O21" s="7">
        <f ca="1">IFERROR(__xludf.DUMMYFUNCTION("""COMPUTED_VALUE"""),1)</f>
        <v>1</v>
      </c>
      <c r="P21" s="7" t="str">
        <f ca="1">IFERROR(__xludf.DUMMYFUNCTION("""COMPUTED_VALUE"""),"Gaji Karyawan")</f>
        <v>Gaji Karyawan</v>
      </c>
      <c r="Q21" s="7" t="str">
        <f ca="1">IFERROR(__xludf.DUMMYFUNCTION("""COMPUTED_VALUE"""),"Gaji Store ")</f>
        <v xml:space="preserve">Gaji Store 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IFERROR(__xludf.DUMMYFUNCTION("""COMPUTED_VALUE"""),2106281)</f>
        <v>2106281</v>
      </c>
      <c r="V21" s="17">
        <f ca="1">IFERROR(__xludf.DUMMYFUNCTION("""COMPUTED_VALUE"""),2106281)</f>
        <v>2106281</v>
      </c>
      <c r="W21" s="7" t="str">
        <f ca="1">IFERROR(__xludf.DUMMYFUNCTION("""COMPUTED_VALUE"""),"Erni")</f>
        <v>Erni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IFERROR(__xludf.DUMMYFUNCTION("""COMPUTED_VALUE"""),"11")</f>
        <v>11</v>
      </c>
      <c r="O22" s="7">
        <f ca="1">IFERROR(__xludf.DUMMYFUNCTION("""COMPUTED_VALUE"""),1)</f>
        <v>1</v>
      </c>
      <c r="P22" s="7" t="str">
        <f ca="1">IFERROR(__xludf.DUMMYFUNCTION("""COMPUTED_VALUE"""),"Gaji Karyawan")</f>
        <v>Gaji Karyawan</v>
      </c>
      <c r="Q22" s="7" t="str">
        <f ca="1">IFERROR(__xludf.DUMMYFUNCTION("""COMPUTED_VALUE"""),"Gaji CFD")</f>
        <v>Gaji CFD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IFERROR(__xludf.DUMMYFUNCTION("""COMPUTED_VALUE"""),"bulan ")</f>
        <v xml:space="preserve">bulan </v>
      </c>
      <c r="U22" s="17">
        <f ca="1">IFERROR(__xludf.DUMMYFUNCTION("""COMPUTED_VALUE"""),65000)</f>
        <v>65000</v>
      </c>
      <c r="V22" s="17">
        <f ca="1">IFERROR(__xludf.DUMMYFUNCTION("""COMPUTED_VALUE"""),65000)</f>
        <v>65000</v>
      </c>
      <c r="W22" s="7" t="str">
        <f ca="1">IFERROR(__xludf.DUMMYFUNCTION("""COMPUTED_VALUE"""),"Gaji CFD")</f>
        <v>Gaji CFD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U23" s="18"/>
      <c r="V23" s="18"/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U24" s="18"/>
      <c r="V24" s="18"/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U25" s="18"/>
      <c r="V25" s="18"/>
    </row>
    <row r="26" spans="1:25" ht="12.5" x14ac:dyDescent="0.25">
      <c r="A26" s="12" t="s">
        <v>119</v>
      </c>
      <c r="B26" s="12">
        <v>1</v>
      </c>
      <c r="C26" s="12" t="s">
        <v>35</v>
      </c>
      <c r="D26" s="13" t="s">
        <v>36</v>
      </c>
      <c r="E26" s="12" t="s">
        <v>22</v>
      </c>
      <c r="F26" s="12">
        <v>1</v>
      </c>
      <c r="G26" s="14" t="s">
        <v>23</v>
      </c>
      <c r="H26" s="15">
        <v>2221281</v>
      </c>
      <c r="I26" s="15">
        <f t="shared" si="0"/>
        <v>2221281</v>
      </c>
      <c r="J26" s="13" t="s">
        <v>37</v>
      </c>
      <c r="U26" s="18"/>
      <c r="V26" s="18"/>
    </row>
    <row r="27" spans="1:25" ht="12.5" x14ac:dyDescent="0.25">
      <c r="A27" s="12" t="s">
        <v>121</v>
      </c>
      <c r="B27" s="12">
        <v>1</v>
      </c>
      <c r="C27" s="12" t="s">
        <v>35</v>
      </c>
      <c r="D27" s="13" t="s">
        <v>36</v>
      </c>
      <c r="E27" s="12" t="s">
        <v>22</v>
      </c>
      <c r="F27" s="12">
        <v>1</v>
      </c>
      <c r="G27" s="14" t="s">
        <v>23</v>
      </c>
      <c r="H27" s="15">
        <v>2106281</v>
      </c>
      <c r="I27" s="15">
        <f t="shared" si="0"/>
        <v>2106281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39</v>
      </c>
      <c r="D28" s="13" t="s">
        <v>40</v>
      </c>
      <c r="E28" s="12" t="s">
        <v>22</v>
      </c>
      <c r="F28" s="12">
        <v>1</v>
      </c>
      <c r="G28" s="14" t="s">
        <v>23</v>
      </c>
      <c r="H28" s="15">
        <v>120000</v>
      </c>
      <c r="I28" s="15">
        <f t="shared" si="0"/>
        <v>120000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1</v>
      </c>
      <c r="G29" s="14" t="s">
        <v>23</v>
      </c>
      <c r="H29" s="15">
        <v>100000</v>
      </c>
      <c r="I29" s="15">
        <f t="shared" si="0"/>
        <v>100000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35</v>
      </c>
      <c r="D30" s="13" t="s">
        <v>44</v>
      </c>
      <c r="E30" s="12" t="s">
        <v>22</v>
      </c>
      <c r="F30" s="12">
        <v>1</v>
      </c>
      <c r="G30" s="14" t="s">
        <v>23</v>
      </c>
      <c r="H30" s="15">
        <v>65000</v>
      </c>
      <c r="I30" s="15">
        <f t="shared" si="0"/>
        <v>65000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1</v>
      </c>
      <c r="C33" s="12" t="s">
        <v>10</v>
      </c>
      <c r="D33" s="13" t="s">
        <v>49</v>
      </c>
      <c r="E33" s="12" t="s">
        <v>22</v>
      </c>
      <c r="F33" s="12">
        <v>1</v>
      </c>
      <c r="G33" s="14" t="s">
        <v>23</v>
      </c>
      <c r="H33" s="15">
        <v>1500000</v>
      </c>
      <c r="I33" s="15">
        <f t="shared" si="0"/>
        <v>1500000</v>
      </c>
      <c r="J33" s="13" t="s">
        <v>50</v>
      </c>
      <c r="U33" s="18"/>
      <c r="V33" s="18"/>
    </row>
    <row r="34" spans="1:22" ht="12.5" x14ac:dyDescent="0.25">
      <c r="A34" s="12" t="s">
        <v>128</v>
      </c>
      <c r="B34" s="12">
        <v>31</v>
      </c>
      <c r="C34" s="12" t="s">
        <v>51</v>
      </c>
      <c r="D34" s="20" t="s">
        <v>58</v>
      </c>
      <c r="E34" s="12" t="s">
        <v>22</v>
      </c>
      <c r="F34" s="12">
        <v>1</v>
      </c>
      <c r="G34" s="14" t="s">
        <v>23</v>
      </c>
      <c r="H34" s="15">
        <v>220000</v>
      </c>
      <c r="I34" s="15">
        <f t="shared" si="0"/>
        <v>220000</v>
      </c>
      <c r="J34" s="13" t="s">
        <v>59</v>
      </c>
      <c r="U34" s="18"/>
      <c r="V34" s="18"/>
    </row>
    <row r="35" spans="1:22" ht="12.5" x14ac:dyDescent="0.25">
      <c r="A35" s="12" t="s">
        <v>129</v>
      </c>
      <c r="B35" s="12">
        <v>31</v>
      </c>
      <c r="C35" s="12" t="s">
        <v>51</v>
      </c>
      <c r="D35" s="20" t="s">
        <v>60</v>
      </c>
      <c r="E35" s="12" t="s">
        <v>22</v>
      </c>
      <c r="F35" s="12">
        <v>1</v>
      </c>
      <c r="G35" s="14" t="s">
        <v>23</v>
      </c>
      <c r="H35" s="15">
        <v>78000</v>
      </c>
      <c r="I35" s="15">
        <f t="shared" si="0"/>
        <v>78000</v>
      </c>
      <c r="J35" s="13" t="s">
        <v>62</v>
      </c>
      <c r="U35" s="18"/>
      <c r="V35" s="18"/>
    </row>
    <row r="36" spans="1:22" ht="12.5" x14ac:dyDescent="0.25">
      <c r="A36" s="12" t="s">
        <v>130</v>
      </c>
      <c r="B36" s="12">
        <v>31</v>
      </c>
      <c r="C36" s="12" t="s">
        <v>51</v>
      </c>
      <c r="D36" s="20" t="s">
        <v>63</v>
      </c>
      <c r="E36" s="12" t="s">
        <v>22</v>
      </c>
      <c r="F36" s="12">
        <v>1</v>
      </c>
      <c r="G36" s="14" t="s">
        <v>23</v>
      </c>
      <c r="H36" s="15">
        <v>165000</v>
      </c>
      <c r="I36" s="15">
        <f t="shared" si="0"/>
        <v>165000</v>
      </c>
      <c r="J36" s="13" t="s">
        <v>64</v>
      </c>
      <c r="U36" s="18"/>
      <c r="V36" s="18"/>
    </row>
    <row r="37" spans="1:22" ht="12.5" x14ac:dyDescent="0.25">
      <c r="A37" s="12" t="s">
        <v>131</v>
      </c>
      <c r="B37" s="12">
        <v>31</v>
      </c>
      <c r="C37" s="12" t="s">
        <v>51</v>
      </c>
      <c r="D37" s="20" t="s">
        <v>65</v>
      </c>
      <c r="E37" s="12" t="s">
        <v>22</v>
      </c>
      <c r="F37" s="12">
        <v>1</v>
      </c>
      <c r="G37" s="14" t="s">
        <v>23</v>
      </c>
      <c r="H37" s="15">
        <v>575000</v>
      </c>
      <c r="I37" s="15">
        <f t="shared" si="0"/>
        <v>575000</v>
      </c>
      <c r="J37" s="13" t="s">
        <v>66</v>
      </c>
    </row>
    <row r="38" spans="1:22" ht="12.5" x14ac:dyDescent="0.25">
      <c r="A38" s="12" t="s">
        <v>135</v>
      </c>
      <c r="B38" s="12">
        <v>2</v>
      </c>
      <c r="C38" s="12" t="s">
        <v>51</v>
      </c>
      <c r="D38" s="13" t="s">
        <v>299</v>
      </c>
      <c r="E38" s="12" t="s">
        <v>22</v>
      </c>
      <c r="F38" s="12">
        <v>1</v>
      </c>
      <c r="G38" s="14" t="s">
        <v>23</v>
      </c>
      <c r="H38" s="15">
        <v>1080000</v>
      </c>
      <c r="I38" s="15">
        <f t="shared" si="0"/>
        <v>1080000</v>
      </c>
      <c r="J38" s="13" t="s">
        <v>300</v>
      </c>
    </row>
    <row r="39" spans="1:22" ht="12.5" x14ac:dyDescent="0.25">
      <c r="A39" s="12" t="s">
        <v>138</v>
      </c>
      <c r="B39" s="12">
        <v>2</v>
      </c>
      <c r="C39" s="12" t="s">
        <v>10</v>
      </c>
      <c r="D39" s="13" t="s">
        <v>301</v>
      </c>
      <c r="E39" s="12" t="s">
        <v>22</v>
      </c>
      <c r="F39" s="12">
        <v>1</v>
      </c>
      <c r="G39" s="14" t="s">
        <v>23</v>
      </c>
      <c r="H39" s="15">
        <v>200000</v>
      </c>
      <c r="I39" s="15">
        <f t="shared" si="0"/>
        <v>200000</v>
      </c>
      <c r="J39" s="13" t="s">
        <v>302</v>
      </c>
    </row>
    <row r="40" spans="1:22" ht="12.5" x14ac:dyDescent="0.25">
      <c r="A40" s="12" t="s">
        <v>141</v>
      </c>
      <c r="B40" s="12">
        <v>27</v>
      </c>
      <c r="C40" s="12" t="s">
        <v>10</v>
      </c>
      <c r="D40" s="13" t="s">
        <v>303</v>
      </c>
      <c r="E40" s="12" t="s">
        <v>68</v>
      </c>
      <c r="F40" s="12">
        <v>1</v>
      </c>
      <c r="G40" s="14" t="s">
        <v>23</v>
      </c>
      <c r="H40" s="15">
        <v>30000</v>
      </c>
      <c r="I40" s="15">
        <f t="shared" si="0"/>
        <v>30000</v>
      </c>
      <c r="J40" s="13" t="s">
        <v>304</v>
      </c>
    </row>
    <row r="41" spans="1:22" ht="12.5" x14ac:dyDescent="0.25">
      <c r="A41" s="12" t="s">
        <v>144</v>
      </c>
      <c r="B41" s="12">
        <v>2</v>
      </c>
      <c r="C41" s="12" t="s">
        <v>73</v>
      </c>
      <c r="D41" s="13" t="s">
        <v>305</v>
      </c>
      <c r="E41" s="12" t="s">
        <v>68</v>
      </c>
      <c r="F41" s="12">
        <v>1</v>
      </c>
      <c r="G41" s="14" t="s">
        <v>23</v>
      </c>
      <c r="H41" s="15">
        <v>5000</v>
      </c>
      <c r="I41" s="15">
        <f t="shared" si="0"/>
        <v>5000</v>
      </c>
      <c r="J41" s="13" t="s">
        <v>306</v>
      </c>
    </row>
    <row r="42" spans="1:22" ht="12.5" x14ac:dyDescent="0.25">
      <c r="A42" s="12" t="s">
        <v>147</v>
      </c>
      <c r="B42" s="12">
        <v>6</v>
      </c>
      <c r="C42" s="12" t="s">
        <v>73</v>
      </c>
      <c r="D42" s="13" t="s">
        <v>307</v>
      </c>
      <c r="E42" s="12" t="s">
        <v>68</v>
      </c>
      <c r="F42" s="12">
        <v>1</v>
      </c>
      <c r="G42" s="14" t="s">
        <v>23</v>
      </c>
      <c r="H42" s="15">
        <v>147000</v>
      </c>
      <c r="I42" s="15">
        <f t="shared" si="0"/>
        <v>147000</v>
      </c>
      <c r="J42" s="13" t="s">
        <v>306</v>
      </c>
    </row>
    <row r="43" spans="1:22" ht="12.5" x14ac:dyDescent="0.25">
      <c r="A43" s="12" t="s">
        <v>150</v>
      </c>
      <c r="B43" s="12">
        <v>4</v>
      </c>
      <c r="C43" s="12" t="s">
        <v>83</v>
      </c>
      <c r="D43" s="13" t="s">
        <v>308</v>
      </c>
      <c r="E43" s="12" t="s">
        <v>22</v>
      </c>
      <c r="F43" s="12">
        <v>1</v>
      </c>
      <c r="G43" s="14" t="s">
        <v>23</v>
      </c>
      <c r="H43" s="15">
        <v>230000</v>
      </c>
      <c r="I43" s="15">
        <f t="shared" si="0"/>
        <v>230000</v>
      </c>
      <c r="J43" s="13" t="s">
        <v>309</v>
      </c>
    </row>
    <row r="44" spans="1:22" ht="12.5" x14ac:dyDescent="0.25">
      <c r="A44" s="12" t="s">
        <v>153</v>
      </c>
      <c r="B44" s="12">
        <v>3</v>
      </c>
      <c r="C44" s="12" t="s">
        <v>73</v>
      </c>
      <c r="D44" s="13" t="s">
        <v>310</v>
      </c>
      <c r="E44" s="12" t="s">
        <v>22</v>
      </c>
      <c r="F44" s="12">
        <v>1</v>
      </c>
      <c r="G44" s="14" t="s">
        <v>23</v>
      </c>
      <c r="H44" s="15">
        <v>46000</v>
      </c>
      <c r="I44" s="15">
        <f t="shared" si="0"/>
        <v>46000</v>
      </c>
      <c r="J44" s="13" t="s">
        <v>75</v>
      </c>
    </row>
    <row r="45" spans="1:22" ht="12.5" x14ac:dyDescent="0.25">
      <c r="A45" s="12" t="s">
        <v>156</v>
      </c>
      <c r="B45" s="12">
        <v>9</v>
      </c>
      <c r="C45" s="12" t="s">
        <v>51</v>
      </c>
      <c r="D45" s="13" t="s">
        <v>311</v>
      </c>
      <c r="E45" s="12" t="s">
        <v>22</v>
      </c>
      <c r="F45" s="12">
        <v>1</v>
      </c>
      <c r="G45" s="14" t="s">
        <v>23</v>
      </c>
      <c r="H45" s="15">
        <v>546000</v>
      </c>
      <c r="I45" s="15">
        <f t="shared" si="0"/>
        <v>546000</v>
      </c>
      <c r="J45" s="13" t="s">
        <v>312</v>
      </c>
    </row>
    <row r="46" spans="1:22" ht="12.5" x14ac:dyDescent="0.25">
      <c r="A46" s="12" t="s">
        <v>158</v>
      </c>
      <c r="B46" s="12">
        <v>7</v>
      </c>
      <c r="C46" s="12" t="s">
        <v>51</v>
      </c>
      <c r="D46" s="13" t="s">
        <v>313</v>
      </c>
      <c r="E46" s="12" t="s">
        <v>22</v>
      </c>
      <c r="F46" s="12">
        <v>1</v>
      </c>
      <c r="G46" s="14" t="s">
        <v>23</v>
      </c>
      <c r="H46" s="15">
        <v>34000</v>
      </c>
      <c r="I46" s="15">
        <f t="shared" si="0"/>
        <v>34000</v>
      </c>
      <c r="J46" s="13" t="s">
        <v>314</v>
      </c>
    </row>
    <row r="47" spans="1:22" ht="12.5" x14ac:dyDescent="0.25">
      <c r="A47" s="12" t="s">
        <v>161</v>
      </c>
      <c r="B47" s="12">
        <v>12</v>
      </c>
      <c r="C47" s="12" t="s">
        <v>51</v>
      </c>
      <c r="D47" s="13" t="s">
        <v>313</v>
      </c>
      <c r="E47" s="12" t="s">
        <v>22</v>
      </c>
      <c r="F47" s="12">
        <v>1</v>
      </c>
      <c r="G47" s="14" t="s">
        <v>23</v>
      </c>
      <c r="H47" s="15">
        <v>21000</v>
      </c>
      <c r="I47" s="15">
        <f t="shared" si="0"/>
        <v>21000</v>
      </c>
      <c r="J47" s="13" t="s">
        <v>314</v>
      </c>
    </row>
    <row r="48" spans="1:22" ht="12.5" x14ac:dyDescent="0.25">
      <c r="A48" s="12" t="s">
        <v>164</v>
      </c>
      <c r="B48" s="12">
        <v>11</v>
      </c>
      <c r="C48" s="12" t="s">
        <v>51</v>
      </c>
      <c r="D48" s="13" t="s">
        <v>315</v>
      </c>
      <c r="E48" s="12" t="s">
        <v>22</v>
      </c>
      <c r="F48" s="12">
        <v>1</v>
      </c>
      <c r="G48" s="14" t="s">
        <v>133</v>
      </c>
      <c r="H48" s="15">
        <v>195000</v>
      </c>
      <c r="I48" s="15">
        <f t="shared" si="0"/>
        <v>195000</v>
      </c>
      <c r="J48" s="13" t="s">
        <v>316</v>
      </c>
    </row>
    <row r="49" spans="1:10" ht="12.5" x14ac:dyDescent="0.25">
      <c r="A49" s="12" t="s">
        <v>166</v>
      </c>
      <c r="B49" s="12">
        <v>12</v>
      </c>
      <c r="C49" s="12" t="s">
        <v>51</v>
      </c>
      <c r="D49" s="13" t="s">
        <v>317</v>
      </c>
      <c r="E49" s="12" t="s">
        <v>22</v>
      </c>
      <c r="F49" s="12">
        <v>1</v>
      </c>
      <c r="G49" s="14" t="s">
        <v>133</v>
      </c>
      <c r="H49" s="15">
        <v>700000</v>
      </c>
      <c r="I49" s="15">
        <f t="shared" si="0"/>
        <v>700000</v>
      </c>
      <c r="J49" s="13" t="s">
        <v>71</v>
      </c>
    </row>
    <row r="50" spans="1:10" ht="12.5" x14ac:dyDescent="0.25">
      <c r="A50" s="12" t="s">
        <v>169</v>
      </c>
      <c r="B50" s="12">
        <v>18</v>
      </c>
      <c r="C50" s="12" t="s">
        <v>262</v>
      </c>
      <c r="D50" s="13" t="s">
        <v>318</v>
      </c>
      <c r="E50" s="12" t="s">
        <v>68</v>
      </c>
      <c r="F50" s="12">
        <v>1</v>
      </c>
      <c r="G50" s="14" t="s">
        <v>319</v>
      </c>
      <c r="H50" s="15">
        <v>164000</v>
      </c>
      <c r="I50" s="15">
        <f t="shared" si="0"/>
        <v>164000</v>
      </c>
      <c r="J50" s="13" t="s">
        <v>321</v>
      </c>
    </row>
    <row r="51" spans="1:10" ht="12.5" x14ac:dyDescent="0.25">
      <c r="A51" s="12" t="s">
        <v>171</v>
      </c>
      <c r="B51" s="12">
        <v>18</v>
      </c>
      <c r="C51" s="12" t="s">
        <v>262</v>
      </c>
      <c r="D51" s="13" t="s">
        <v>322</v>
      </c>
      <c r="E51" s="12" t="s">
        <v>68</v>
      </c>
      <c r="F51" s="12">
        <v>1</v>
      </c>
      <c r="G51" s="14" t="s">
        <v>133</v>
      </c>
      <c r="H51" s="15">
        <v>80000</v>
      </c>
      <c r="I51" s="15">
        <f t="shared" si="0"/>
        <v>80000</v>
      </c>
      <c r="J51" s="13" t="s">
        <v>324</v>
      </c>
    </row>
    <row r="52" spans="1:10" ht="12.5" x14ac:dyDescent="0.25">
      <c r="A52" s="12" t="s">
        <v>172</v>
      </c>
      <c r="B52" s="12">
        <v>13</v>
      </c>
      <c r="C52" s="12" t="s">
        <v>51</v>
      </c>
      <c r="D52" s="13" t="s">
        <v>325</v>
      </c>
      <c r="E52" s="12" t="s">
        <v>68</v>
      </c>
      <c r="F52" s="12">
        <v>1</v>
      </c>
      <c r="G52" s="14" t="s">
        <v>133</v>
      </c>
      <c r="H52" s="15">
        <v>55000</v>
      </c>
      <c r="I52" s="15">
        <f t="shared" si="0"/>
        <v>55000</v>
      </c>
      <c r="J52" s="13" t="s">
        <v>312</v>
      </c>
    </row>
    <row r="53" spans="1:10" ht="12.5" x14ac:dyDescent="0.25">
      <c r="A53" s="12" t="s">
        <v>175</v>
      </c>
      <c r="B53" s="12">
        <v>14</v>
      </c>
      <c r="C53" s="12" t="s">
        <v>262</v>
      </c>
      <c r="D53" s="13" t="s">
        <v>328</v>
      </c>
      <c r="E53" s="12" t="s">
        <v>68</v>
      </c>
      <c r="F53" s="12">
        <v>1</v>
      </c>
      <c r="G53" s="14" t="s">
        <v>133</v>
      </c>
      <c r="H53" s="15">
        <v>32000</v>
      </c>
      <c r="I53" s="15">
        <f t="shared" si="0"/>
        <v>32000</v>
      </c>
      <c r="J53" s="13" t="s">
        <v>331</v>
      </c>
    </row>
    <row r="54" spans="1:10" ht="12.5" x14ac:dyDescent="0.25">
      <c r="A54" s="12" t="s">
        <v>178</v>
      </c>
      <c r="B54" s="12">
        <v>19</v>
      </c>
      <c r="C54" s="12" t="s">
        <v>51</v>
      </c>
      <c r="D54" s="13" t="s">
        <v>332</v>
      </c>
      <c r="E54" s="12" t="s">
        <v>22</v>
      </c>
      <c r="F54" s="12">
        <v>1</v>
      </c>
      <c r="G54" s="14" t="s">
        <v>133</v>
      </c>
      <c r="H54" s="15">
        <v>543000</v>
      </c>
      <c r="I54" s="15">
        <f t="shared" si="0"/>
        <v>543000</v>
      </c>
      <c r="J54" s="13" t="s">
        <v>71</v>
      </c>
    </row>
    <row r="55" spans="1:10" ht="12.5" x14ac:dyDescent="0.25">
      <c r="A55" s="12" t="s">
        <v>181</v>
      </c>
      <c r="B55" s="12">
        <v>14</v>
      </c>
      <c r="C55" s="12" t="s">
        <v>51</v>
      </c>
      <c r="D55" s="13" t="s">
        <v>315</v>
      </c>
      <c r="E55" s="12" t="s">
        <v>68</v>
      </c>
      <c r="F55" s="12">
        <v>1</v>
      </c>
      <c r="G55" s="14" t="s">
        <v>133</v>
      </c>
      <c r="H55" s="15">
        <v>327000</v>
      </c>
      <c r="I55" s="15">
        <f t="shared" si="0"/>
        <v>327000</v>
      </c>
      <c r="J55" s="13" t="s">
        <v>316</v>
      </c>
    </row>
    <row r="56" spans="1:10" ht="12.5" x14ac:dyDescent="0.25">
      <c r="A56" s="12" t="s">
        <v>183</v>
      </c>
      <c r="B56" s="12">
        <v>27</v>
      </c>
      <c r="C56" s="12" t="s">
        <v>262</v>
      </c>
      <c r="D56" s="13" t="s">
        <v>335</v>
      </c>
      <c r="E56" s="12" t="s">
        <v>68</v>
      </c>
      <c r="F56" s="12">
        <v>1</v>
      </c>
      <c r="G56" s="14" t="s">
        <v>133</v>
      </c>
      <c r="H56" s="15">
        <v>8000</v>
      </c>
      <c r="I56" s="15">
        <f t="shared" si="0"/>
        <v>8000</v>
      </c>
      <c r="J56" s="13" t="s">
        <v>26</v>
      </c>
    </row>
    <row r="57" spans="1:10" ht="12.5" x14ac:dyDescent="0.25">
      <c r="A57" s="12" t="s">
        <v>186</v>
      </c>
      <c r="B57" s="12">
        <v>2</v>
      </c>
      <c r="C57" s="12" t="s">
        <v>51</v>
      </c>
      <c r="D57" s="13" t="s">
        <v>336</v>
      </c>
      <c r="E57" s="12" t="s">
        <v>68</v>
      </c>
      <c r="F57" s="12">
        <v>1</v>
      </c>
      <c r="G57" s="14" t="s">
        <v>133</v>
      </c>
      <c r="H57" s="15">
        <v>60000</v>
      </c>
      <c r="I57" s="15">
        <f t="shared" si="0"/>
        <v>60000</v>
      </c>
      <c r="J57" s="13" t="s">
        <v>40</v>
      </c>
    </row>
    <row r="58" spans="1:10" ht="12.5" x14ac:dyDescent="0.25">
      <c r="A58" s="12"/>
      <c r="B58" s="12">
        <v>3</v>
      </c>
      <c r="C58" s="12" t="s">
        <v>51</v>
      </c>
      <c r="D58" s="13" t="s">
        <v>337</v>
      </c>
      <c r="E58" s="12" t="s">
        <v>22</v>
      </c>
      <c r="F58" s="12">
        <v>1</v>
      </c>
      <c r="G58" s="14" t="s">
        <v>133</v>
      </c>
      <c r="H58" s="15">
        <v>170000</v>
      </c>
      <c r="I58" s="15">
        <f t="shared" si="0"/>
        <v>170000</v>
      </c>
      <c r="J58" s="13" t="s">
        <v>338</v>
      </c>
    </row>
    <row r="59" spans="1:10" ht="12.5" x14ac:dyDescent="0.25">
      <c r="A59" s="12"/>
      <c r="B59" s="12">
        <v>3</v>
      </c>
      <c r="C59" s="12" t="s">
        <v>51</v>
      </c>
      <c r="D59" s="13" t="s">
        <v>339</v>
      </c>
      <c r="E59" s="12" t="s">
        <v>22</v>
      </c>
      <c r="F59" s="12">
        <v>1</v>
      </c>
      <c r="G59" s="14" t="s">
        <v>133</v>
      </c>
      <c r="H59" s="15">
        <v>155000</v>
      </c>
      <c r="I59" s="15">
        <f t="shared" si="0"/>
        <v>155000</v>
      </c>
      <c r="J59" s="13" t="s">
        <v>341</v>
      </c>
    </row>
    <row r="60" spans="1:10" ht="12.5" x14ac:dyDescent="0.25">
      <c r="A60" s="12"/>
      <c r="B60" s="12">
        <v>4</v>
      </c>
      <c r="C60" s="12" t="s">
        <v>51</v>
      </c>
      <c r="D60" s="13" t="s">
        <v>342</v>
      </c>
      <c r="E60" s="12" t="s">
        <v>22</v>
      </c>
      <c r="F60" s="12">
        <v>1</v>
      </c>
      <c r="G60" s="14" t="s">
        <v>133</v>
      </c>
      <c r="H60" s="15">
        <v>235000</v>
      </c>
      <c r="I60" s="15">
        <f t="shared" si="0"/>
        <v>235000</v>
      </c>
      <c r="J60" s="13" t="s">
        <v>344</v>
      </c>
    </row>
    <row r="61" spans="1:10" ht="12.5" x14ac:dyDescent="0.25">
      <c r="A61" s="12"/>
      <c r="B61" s="12">
        <v>4</v>
      </c>
      <c r="C61" s="12" t="s">
        <v>83</v>
      </c>
      <c r="D61" s="13" t="s">
        <v>346</v>
      </c>
      <c r="E61" s="12" t="s">
        <v>22</v>
      </c>
      <c r="F61" s="12">
        <v>1</v>
      </c>
      <c r="G61" s="14" t="s">
        <v>133</v>
      </c>
      <c r="H61" s="15">
        <v>45000</v>
      </c>
      <c r="I61" s="15">
        <f t="shared" si="0"/>
        <v>45000</v>
      </c>
      <c r="J61" s="13" t="s">
        <v>348</v>
      </c>
    </row>
    <row r="62" spans="1:10" ht="12.5" x14ac:dyDescent="0.25">
      <c r="A62" s="12"/>
      <c r="B62" s="12">
        <v>4</v>
      </c>
      <c r="C62" s="12" t="s">
        <v>51</v>
      </c>
      <c r="D62" s="13" t="s">
        <v>349</v>
      </c>
      <c r="E62" s="12" t="s">
        <v>22</v>
      </c>
      <c r="F62" s="12">
        <v>1</v>
      </c>
      <c r="G62" s="14" t="s">
        <v>133</v>
      </c>
      <c r="H62" s="15">
        <v>160000</v>
      </c>
      <c r="I62" s="15">
        <f t="shared" si="0"/>
        <v>160000</v>
      </c>
      <c r="J62" s="13" t="s">
        <v>351</v>
      </c>
    </row>
    <row r="63" spans="1:10" ht="12.5" x14ac:dyDescent="0.25">
      <c r="A63" s="12"/>
      <c r="B63" s="12">
        <v>5</v>
      </c>
      <c r="C63" s="12" t="s">
        <v>51</v>
      </c>
      <c r="D63" s="13" t="s">
        <v>352</v>
      </c>
      <c r="E63" s="12" t="s">
        <v>22</v>
      </c>
      <c r="F63" s="12">
        <v>1</v>
      </c>
      <c r="G63" s="14" t="s">
        <v>133</v>
      </c>
      <c r="H63" s="15">
        <v>125000</v>
      </c>
      <c r="I63" s="15">
        <f t="shared" si="0"/>
        <v>125000</v>
      </c>
      <c r="J63" s="13" t="s">
        <v>355</v>
      </c>
    </row>
    <row r="64" spans="1:10" ht="12.5" x14ac:dyDescent="0.25">
      <c r="A64" s="12"/>
      <c r="B64" s="12">
        <v>5</v>
      </c>
      <c r="C64" s="12" t="s">
        <v>51</v>
      </c>
      <c r="D64" s="13" t="s">
        <v>357</v>
      </c>
      <c r="E64" s="12" t="s">
        <v>22</v>
      </c>
      <c r="F64" s="12">
        <v>1</v>
      </c>
      <c r="G64" s="14" t="s">
        <v>133</v>
      </c>
      <c r="H64" s="15">
        <v>95000</v>
      </c>
      <c r="I64" s="15">
        <f t="shared" si="0"/>
        <v>95000</v>
      </c>
      <c r="J64" s="13" t="s">
        <v>358</v>
      </c>
    </row>
    <row r="65" spans="1:10" ht="12.5" x14ac:dyDescent="0.25">
      <c r="A65" s="12"/>
      <c r="B65" s="12">
        <v>6</v>
      </c>
      <c r="C65" s="12" t="s">
        <v>51</v>
      </c>
      <c r="D65" s="13" t="s">
        <v>359</v>
      </c>
      <c r="E65" s="12" t="s">
        <v>22</v>
      </c>
      <c r="F65" s="12">
        <v>1</v>
      </c>
      <c r="G65" s="14" t="s">
        <v>133</v>
      </c>
      <c r="H65" s="15">
        <v>90000</v>
      </c>
      <c r="I65" s="15">
        <f t="shared" si="0"/>
        <v>90000</v>
      </c>
      <c r="J65" s="13" t="s">
        <v>360</v>
      </c>
    </row>
    <row r="66" spans="1:10" ht="12.5" x14ac:dyDescent="0.25">
      <c r="A66" s="12"/>
      <c r="B66" s="12">
        <v>6</v>
      </c>
      <c r="C66" s="12" t="s">
        <v>51</v>
      </c>
      <c r="D66" s="13" t="s">
        <v>361</v>
      </c>
      <c r="E66" s="12" t="s">
        <v>22</v>
      </c>
      <c r="F66" s="12">
        <v>1</v>
      </c>
      <c r="G66" s="14" t="s">
        <v>133</v>
      </c>
      <c r="H66" s="15">
        <v>115000</v>
      </c>
      <c r="I66" s="15">
        <f t="shared" si="0"/>
        <v>115000</v>
      </c>
      <c r="J66" s="13" t="s">
        <v>363</v>
      </c>
    </row>
    <row r="67" spans="1:10" ht="12.5" x14ac:dyDescent="0.25">
      <c r="A67" s="12"/>
      <c r="B67" s="12">
        <v>6</v>
      </c>
      <c r="C67" s="12" t="s">
        <v>51</v>
      </c>
      <c r="D67" s="13" t="s">
        <v>359</v>
      </c>
      <c r="E67" s="12" t="s">
        <v>22</v>
      </c>
      <c r="F67" s="12">
        <v>1</v>
      </c>
      <c r="G67" s="14" t="s">
        <v>133</v>
      </c>
      <c r="H67" s="15">
        <v>155000</v>
      </c>
      <c r="I67" s="15">
        <f t="shared" si="0"/>
        <v>155000</v>
      </c>
      <c r="J67" s="13" t="s">
        <v>360</v>
      </c>
    </row>
    <row r="68" spans="1:10" ht="12.5" x14ac:dyDescent="0.25">
      <c r="A68" s="12"/>
      <c r="B68" s="12">
        <v>7</v>
      </c>
      <c r="C68" s="12" t="s">
        <v>51</v>
      </c>
      <c r="D68" s="13" t="s">
        <v>365</v>
      </c>
      <c r="E68" s="12" t="s">
        <v>22</v>
      </c>
      <c r="F68" s="12">
        <v>1</v>
      </c>
      <c r="G68" s="14" t="s">
        <v>133</v>
      </c>
      <c r="H68" s="15">
        <v>40000</v>
      </c>
      <c r="I68" s="15">
        <f t="shared" si="0"/>
        <v>40000</v>
      </c>
      <c r="J68" s="13" t="s">
        <v>366</v>
      </c>
    </row>
    <row r="69" spans="1:10" ht="12.5" x14ac:dyDescent="0.25">
      <c r="A69" s="12"/>
      <c r="B69" s="12">
        <v>7</v>
      </c>
      <c r="C69" s="12" t="s">
        <v>51</v>
      </c>
      <c r="D69" s="13" t="s">
        <v>367</v>
      </c>
      <c r="E69" s="12" t="s">
        <v>22</v>
      </c>
      <c r="F69" s="12">
        <v>1</v>
      </c>
      <c r="G69" s="14" t="s">
        <v>133</v>
      </c>
      <c r="H69" s="15">
        <v>125000</v>
      </c>
      <c r="I69" s="15">
        <f t="shared" si="0"/>
        <v>125000</v>
      </c>
      <c r="J69" s="13" t="s">
        <v>368</v>
      </c>
    </row>
    <row r="70" spans="1:10" ht="12.5" x14ac:dyDescent="0.25">
      <c r="A70" s="12"/>
      <c r="B70" s="12">
        <v>8</v>
      </c>
      <c r="C70" s="12" t="s">
        <v>10</v>
      </c>
      <c r="D70" s="13" t="s">
        <v>369</v>
      </c>
      <c r="E70" s="12" t="s">
        <v>22</v>
      </c>
      <c r="F70" s="12">
        <v>1</v>
      </c>
      <c r="G70" s="14" t="s">
        <v>133</v>
      </c>
      <c r="H70" s="15">
        <v>90000</v>
      </c>
      <c r="I70" s="15">
        <f t="shared" si="0"/>
        <v>90000</v>
      </c>
      <c r="J70" s="13" t="s">
        <v>370</v>
      </c>
    </row>
    <row r="71" spans="1:10" ht="12.5" x14ac:dyDescent="0.25">
      <c r="A71" s="12"/>
      <c r="B71" s="12">
        <v>8</v>
      </c>
      <c r="C71" s="12" t="s">
        <v>51</v>
      </c>
      <c r="D71" s="13" t="s">
        <v>372</v>
      </c>
      <c r="E71" s="12" t="s">
        <v>22</v>
      </c>
      <c r="F71" s="12">
        <v>1</v>
      </c>
      <c r="G71" s="14" t="s">
        <v>133</v>
      </c>
      <c r="H71" s="15">
        <v>215000</v>
      </c>
      <c r="I71" s="15">
        <f t="shared" si="0"/>
        <v>215000</v>
      </c>
      <c r="J71" s="13" t="s">
        <v>373</v>
      </c>
    </row>
    <row r="72" spans="1:10" ht="12.5" x14ac:dyDescent="0.25">
      <c r="A72" s="12"/>
      <c r="B72" s="12">
        <v>8</v>
      </c>
      <c r="C72" s="12" t="s">
        <v>51</v>
      </c>
      <c r="D72" s="13" t="s">
        <v>375</v>
      </c>
      <c r="E72" s="12" t="s">
        <v>22</v>
      </c>
      <c r="F72" s="12">
        <v>1</v>
      </c>
      <c r="G72" s="14" t="s">
        <v>133</v>
      </c>
      <c r="H72" s="15">
        <v>200000</v>
      </c>
      <c r="I72" s="15">
        <f t="shared" si="0"/>
        <v>200000</v>
      </c>
      <c r="J72" s="13" t="s">
        <v>223</v>
      </c>
    </row>
    <row r="73" spans="1:10" ht="12.5" x14ac:dyDescent="0.25">
      <c r="A73" s="12"/>
      <c r="B73" s="12">
        <v>8</v>
      </c>
      <c r="C73" s="12" t="s">
        <v>73</v>
      </c>
      <c r="D73" s="13" t="s">
        <v>378</v>
      </c>
      <c r="E73" s="12" t="s">
        <v>22</v>
      </c>
      <c r="F73" s="12">
        <v>1</v>
      </c>
      <c r="G73" s="14" t="s">
        <v>133</v>
      </c>
      <c r="H73" s="15">
        <v>80000</v>
      </c>
      <c r="I73" s="15">
        <f t="shared" si="0"/>
        <v>80000</v>
      </c>
      <c r="J73" s="13" t="s">
        <v>380</v>
      </c>
    </row>
    <row r="74" spans="1:10" ht="12.5" x14ac:dyDescent="0.25">
      <c r="A74" s="12"/>
      <c r="B74" s="12">
        <v>8</v>
      </c>
      <c r="C74" s="12" t="s">
        <v>51</v>
      </c>
      <c r="D74" s="13" t="s">
        <v>381</v>
      </c>
      <c r="E74" s="12" t="s">
        <v>22</v>
      </c>
      <c r="F74" s="12">
        <v>1</v>
      </c>
      <c r="G74" s="14" t="s">
        <v>133</v>
      </c>
      <c r="H74" s="15">
        <v>230000</v>
      </c>
      <c r="I74" s="15">
        <f t="shared" si="0"/>
        <v>230000</v>
      </c>
      <c r="J74" s="13" t="s">
        <v>382</v>
      </c>
    </row>
    <row r="75" spans="1:10" ht="12.5" x14ac:dyDescent="0.25">
      <c r="A75" s="12"/>
      <c r="B75" s="12">
        <v>8</v>
      </c>
      <c r="C75" s="12" t="s">
        <v>73</v>
      </c>
      <c r="D75" s="13" t="s">
        <v>383</v>
      </c>
      <c r="E75" s="12" t="s">
        <v>22</v>
      </c>
      <c r="F75" s="12">
        <v>1</v>
      </c>
      <c r="G75" s="14" t="s">
        <v>133</v>
      </c>
      <c r="H75" s="15">
        <v>50000</v>
      </c>
      <c r="I75" s="15">
        <f t="shared" si="0"/>
        <v>50000</v>
      </c>
      <c r="J75" s="13" t="s">
        <v>385</v>
      </c>
    </row>
    <row r="76" spans="1:10" ht="12.5" x14ac:dyDescent="0.25">
      <c r="A76" s="12"/>
      <c r="B76" s="12">
        <v>9</v>
      </c>
      <c r="C76" s="12" t="s">
        <v>73</v>
      </c>
      <c r="D76" s="13" t="s">
        <v>378</v>
      </c>
      <c r="E76" s="12" t="s">
        <v>22</v>
      </c>
      <c r="F76" s="12">
        <v>1</v>
      </c>
      <c r="G76" s="14" t="s">
        <v>133</v>
      </c>
      <c r="H76" s="15">
        <v>90000</v>
      </c>
      <c r="I76" s="15">
        <f t="shared" si="0"/>
        <v>90000</v>
      </c>
      <c r="J76" s="13" t="s">
        <v>387</v>
      </c>
    </row>
    <row r="77" spans="1:10" ht="12.5" x14ac:dyDescent="0.25">
      <c r="A77" s="12"/>
      <c r="B77" s="12">
        <v>9</v>
      </c>
      <c r="C77" s="12" t="s">
        <v>51</v>
      </c>
      <c r="D77" s="13" t="s">
        <v>388</v>
      </c>
      <c r="E77" s="12" t="s">
        <v>22</v>
      </c>
      <c r="F77" s="12">
        <v>1</v>
      </c>
      <c r="G77" s="14" t="s">
        <v>133</v>
      </c>
      <c r="H77" s="15">
        <v>170000</v>
      </c>
      <c r="I77" s="15">
        <f t="shared" si="0"/>
        <v>170000</v>
      </c>
      <c r="J77" s="13" t="s">
        <v>390</v>
      </c>
    </row>
    <row r="78" spans="1:10" ht="12.5" x14ac:dyDescent="0.25">
      <c r="A78" s="12"/>
      <c r="B78" s="12">
        <v>10</v>
      </c>
      <c r="C78" s="12" t="s">
        <v>51</v>
      </c>
      <c r="D78" s="13" t="s">
        <v>392</v>
      </c>
      <c r="E78" s="12" t="s">
        <v>22</v>
      </c>
      <c r="F78" s="12">
        <v>1</v>
      </c>
      <c r="G78" s="14" t="s">
        <v>133</v>
      </c>
      <c r="H78" s="15">
        <v>170000</v>
      </c>
      <c r="I78" s="15">
        <f t="shared" si="0"/>
        <v>170000</v>
      </c>
      <c r="J78" s="13" t="s">
        <v>393</v>
      </c>
    </row>
    <row r="79" spans="1:10" ht="12.5" x14ac:dyDescent="0.25">
      <c r="A79" s="12"/>
      <c r="B79" s="12">
        <v>10</v>
      </c>
      <c r="C79" s="12" t="s">
        <v>51</v>
      </c>
      <c r="D79" s="13" t="s">
        <v>395</v>
      </c>
      <c r="E79" s="12" t="s">
        <v>22</v>
      </c>
      <c r="F79" s="12">
        <v>1</v>
      </c>
      <c r="G79" s="14" t="s">
        <v>133</v>
      </c>
      <c r="H79" s="15">
        <v>300000</v>
      </c>
      <c r="I79" s="15">
        <f t="shared" si="0"/>
        <v>300000</v>
      </c>
      <c r="J79" s="13" t="s">
        <v>215</v>
      </c>
    </row>
    <row r="80" spans="1:10" ht="12.5" x14ac:dyDescent="0.25">
      <c r="A80" s="12"/>
      <c r="B80" s="12">
        <v>10</v>
      </c>
      <c r="C80" s="12" t="s">
        <v>51</v>
      </c>
      <c r="D80" s="13" t="s">
        <v>398</v>
      </c>
      <c r="E80" s="12" t="s">
        <v>22</v>
      </c>
      <c r="F80" s="12">
        <v>1</v>
      </c>
      <c r="G80" s="14" t="s">
        <v>133</v>
      </c>
      <c r="H80" s="15">
        <v>105000</v>
      </c>
      <c r="I80" s="15">
        <f t="shared" si="0"/>
        <v>105000</v>
      </c>
      <c r="J80" s="13" t="s">
        <v>399</v>
      </c>
    </row>
    <row r="81" spans="1:10" ht="12.5" x14ac:dyDescent="0.25">
      <c r="A81" s="12"/>
      <c r="B81" s="12">
        <v>10</v>
      </c>
      <c r="C81" s="12" t="s">
        <v>51</v>
      </c>
      <c r="D81" s="13" t="s">
        <v>400</v>
      </c>
      <c r="E81" s="12" t="s">
        <v>22</v>
      </c>
      <c r="F81" s="12">
        <v>1</v>
      </c>
      <c r="G81" s="14" t="s">
        <v>133</v>
      </c>
      <c r="H81" s="15">
        <v>80000</v>
      </c>
      <c r="I81" s="15">
        <f t="shared" si="0"/>
        <v>80000</v>
      </c>
      <c r="J81" s="13" t="s">
        <v>402</v>
      </c>
    </row>
    <row r="82" spans="1:10" ht="12.5" x14ac:dyDescent="0.25">
      <c r="A82" s="12"/>
      <c r="B82" s="12">
        <v>10</v>
      </c>
      <c r="C82" s="12" t="s">
        <v>51</v>
      </c>
      <c r="D82" s="13" t="s">
        <v>404</v>
      </c>
      <c r="E82" s="12" t="s">
        <v>22</v>
      </c>
      <c r="F82" s="12">
        <v>1</v>
      </c>
      <c r="G82" s="14" t="s">
        <v>133</v>
      </c>
      <c r="H82" s="15">
        <v>310000</v>
      </c>
      <c r="I82" s="15">
        <f t="shared" si="0"/>
        <v>310000</v>
      </c>
      <c r="J82" s="13" t="s">
        <v>406</v>
      </c>
    </row>
    <row r="83" spans="1:10" ht="12.5" x14ac:dyDescent="0.25">
      <c r="A83" s="12"/>
      <c r="B83" s="12">
        <v>11</v>
      </c>
      <c r="C83" s="12" t="s">
        <v>83</v>
      </c>
      <c r="D83" s="13" t="s">
        <v>408</v>
      </c>
      <c r="E83" s="12" t="s">
        <v>22</v>
      </c>
      <c r="F83" s="12">
        <v>1</v>
      </c>
      <c r="G83" s="14" t="s">
        <v>133</v>
      </c>
      <c r="H83" s="15">
        <v>205000</v>
      </c>
      <c r="I83" s="15">
        <f t="shared" si="0"/>
        <v>205000</v>
      </c>
      <c r="J83" s="13" t="s">
        <v>106</v>
      </c>
    </row>
    <row r="84" spans="1:10" ht="12.5" x14ac:dyDescent="0.25">
      <c r="A84" s="12"/>
      <c r="B84" s="12">
        <v>11</v>
      </c>
      <c r="C84" s="12" t="s">
        <v>51</v>
      </c>
      <c r="D84" s="13" t="s">
        <v>388</v>
      </c>
      <c r="E84" s="12" t="s">
        <v>22</v>
      </c>
      <c r="F84" s="12">
        <v>1</v>
      </c>
      <c r="G84" s="14" t="s">
        <v>133</v>
      </c>
      <c r="H84" s="15">
        <v>160000</v>
      </c>
      <c r="I84" s="15">
        <f t="shared" si="0"/>
        <v>160000</v>
      </c>
      <c r="J84" s="13" t="s">
        <v>411</v>
      </c>
    </row>
    <row r="85" spans="1:10" ht="12.5" x14ac:dyDescent="0.25">
      <c r="A85" s="12"/>
      <c r="B85" s="12">
        <v>12</v>
      </c>
      <c r="C85" s="12" t="s">
        <v>51</v>
      </c>
      <c r="D85" s="13" t="s">
        <v>413</v>
      </c>
      <c r="E85" s="12" t="s">
        <v>22</v>
      </c>
      <c r="F85" s="12">
        <v>1</v>
      </c>
      <c r="G85" s="14" t="s">
        <v>133</v>
      </c>
      <c r="H85" s="15">
        <v>210000</v>
      </c>
      <c r="I85" s="15">
        <f t="shared" si="0"/>
        <v>210000</v>
      </c>
      <c r="J85" s="13" t="s">
        <v>414</v>
      </c>
    </row>
    <row r="86" spans="1:10" ht="12.5" x14ac:dyDescent="0.25">
      <c r="A86" s="12"/>
      <c r="B86" s="12">
        <v>13</v>
      </c>
      <c r="C86" s="12" t="s">
        <v>51</v>
      </c>
      <c r="D86" s="13" t="s">
        <v>179</v>
      </c>
      <c r="E86" s="12" t="s">
        <v>22</v>
      </c>
      <c r="F86" s="12">
        <v>1</v>
      </c>
      <c r="G86" s="14" t="s">
        <v>133</v>
      </c>
      <c r="H86" s="15">
        <v>175000</v>
      </c>
      <c r="I86" s="15">
        <f t="shared" si="0"/>
        <v>175000</v>
      </c>
      <c r="J86" s="13" t="s">
        <v>416</v>
      </c>
    </row>
    <row r="87" spans="1:10" ht="12.5" x14ac:dyDescent="0.25">
      <c r="A87" s="12"/>
      <c r="B87" s="12">
        <v>13</v>
      </c>
      <c r="C87" s="12" t="s">
        <v>51</v>
      </c>
      <c r="D87" s="13" t="s">
        <v>417</v>
      </c>
      <c r="E87" s="12" t="s">
        <v>22</v>
      </c>
      <c r="F87" s="12">
        <v>1</v>
      </c>
      <c r="G87" s="14" t="s">
        <v>133</v>
      </c>
      <c r="H87" s="15">
        <v>265000</v>
      </c>
      <c r="I87" s="15">
        <f t="shared" si="0"/>
        <v>265000</v>
      </c>
      <c r="J87" s="13" t="s">
        <v>419</v>
      </c>
    </row>
    <row r="88" spans="1:10" ht="12.5" x14ac:dyDescent="0.25">
      <c r="A88" s="12"/>
      <c r="B88" s="12">
        <v>14</v>
      </c>
      <c r="C88" s="12" t="s">
        <v>83</v>
      </c>
      <c r="D88" s="13" t="s">
        <v>420</v>
      </c>
      <c r="E88" s="12" t="s">
        <v>22</v>
      </c>
      <c r="F88" s="12">
        <v>1</v>
      </c>
      <c r="G88" s="14" t="s">
        <v>133</v>
      </c>
      <c r="H88" s="15">
        <v>225000</v>
      </c>
      <c r="I88" s="15">
        <f t="shared" si="0"/>
        <v>225000</v>
      </c>
      <c r="J88" s="13" t="s">
        <v>422</v>
      </c>
    </row>
    <row r="89" spans="1:10" ht="12.5" x14ac:dyDescent="0.25">
      <c r="A89" s="12"/>
      <c r="B89" s="12">
        <v>15</v>
      </c>
      <c r="C89" s="12" t="s">
        <v>51</v>
      </c>
      <c r="D89" s="13" t="s">
        <v>424</v>
      </c>
      <c r="E89" s="12" t="s">
        <v>22</v>
      </c>
      <c r="F89" s="12">
        <v>1</v>
      </c>
      <c r="G89" s="14" t="s">
        <v>133</v>
      </c>
      <c r="H89" s="15">
        <v>160000</v>
      </c>
      <c r="I89" s="15">
        <f t="shared" si="0"/>
        <v>160000</v>
      </c>
      <c r="J89" s="13" t="s">
        <v>426</v>
      </c>
    </row>
    <row r="90" spans="1:10" ht="12.5" x14ac:dyDescent="0.25">
      <c r="A90" s="12"/>
      <c r="B90" s="12">
        <v>15</v>
      </c>
      <c r="C90" s="12" t="s">
        <v>51</v>
      </c>
      <c r="D90" s="13" t="s">
        <v>173</v>
      </c>
      <c r="E90" s="12" t="s">
        <v>22</v>
      </c>
      <c r="F90" s="12">
        <v>1</v>
      </c>
      <c r="G90" s="14" t="s">
        <v>133</v>
      </c>
      <c r="H90" s="15">
        <v>115000</v>
      </c>
      <c r="I90" s="15">
        <f t="shared" si="0"/>
        <v>115000</v>
      </c>
      <c r="J90" s="13" t="s">
        <v>428</v>
      </c>
    </row>
    <row r="91" spans="1:10" ht="12.5" x14ac:dyDescent="0.25">
      <c r="A91" s="12"/>
      <c r="B91" s="12">
        <v>15</v>
      </c>
      <c r="C91" s="12" t="s">
        <v>51</v>
      </c>
      <c r="D91" s="13" t="s">
        <v>359</v>
      </c>
      <c r="E91" s="12" t="s">
        <v>22</v>
      </c>
      <c r="F91" s="12">
        <v>1</v>
      </c>
      <c r="G91" s="14" t="s">
        <v>133</v>
      </c>
      <c r="H91" s="15">
        <v>165000</v>
      </c>
      <c r="I91" s="15">
        <f t="shared" si="0"/>
        <v>165000</v>
      </c>
      <c r="J91" s="13" t="s">
        <v>360</v>
      </c>
    </row>
    <row r="92" spans="1:10" ht="12.5" x14ac:dyDescent="0.25">
      <c r="A92" s="12"/>
      <c r="B92" s="12">
        <v>17</v>
      </c>
      <c r="C92" s="12" t="s">
        <v>83</v>
      </c>
      <c r="D92" s="13" t="s">
        <v>148</v>
      </c>
      <c r="E92" s="12" t="s">
        <v>22</v>
      </c>
      <c r="F92" s="12">
        <v>1</v>
      </c>
      <c r="G92" s="14" t="s">
        <v>133</v>
      </c>
      <c r="H92" s="15">
        <v>135000</v>
      </c>
      <c r="I92" s="15">
        <f t="shared" si="0"/>
        <v>135000</v>
      </c>
      <c r="J92" s="13" t="s">
        <v>430</v>
      </c>
    </row>
    <row r="93" spans="1:10" ht="12.5" x14ac:dyDescent="0.25">
      <c r="A93" s="12"/>
      <c r="B93" s="12">
        <v>17</v>
      </c>
      <c r="C93" s="12" t="s">
        <v>83</v>
      </c>
      <c r="D93" s="13" t="s">
        <v>148</v>
      </c>
      <c r="E93" s="12" t="s">
        <v>22</v>
      </c>
      <c r="F93" s="12">
        <v>1</v>
      </c>
      <c r="G93" s="14" t="s">
        <v>133</v>
      </c>
      <c r="H93" s="15">
        <v>250000</v>
      </c>
      <c r="I93" s="15">
        <f t="shared" si="0"/>
        <v>250000</v>
      </c>
      <c r="J93" s="13" t="s">
        <v>348</v>
      </c>
    </row>
    <row r="94" spans="1:10" ht="12.5" x14ac:dyDescent="0.25">
      <c r="A94" s="12"/>
      <c r="B94" s="12">
        <v>17</v>
      </c>
      <c r="C94" s="12" t="s">
        <v>83</v>
      </c>
      <c r="D94" s="13" t="s">
        <v>148</v>
      </c>
      <c r="E94" s="12" t="s">
        <v>22</v>
      </c>
      <c r="F94" s="12">
        <v>1</v>
      </c>
      <c r="G94" s="14" t="s">
        <v>133</v>
      </c>
      <c r="H94" s="15">
        <v>35000</v>
      </c>
      <c r="I94" s="15">
        <f t="shared" si="0"/>
        <v>35000</v>
      </c>
      <c r="J94" s="13" t="s">
        <v>433</v>
      </c>
    </row>
    <row r="95" spans="1:10" ht="12.5" x14ac:dyDescent="0.25">
      <c r="A95" s="12"/>
      <c r="B95" s="12">
        <v>17</v>
      </c>
      <c r="C95" s="12" t="s">
        <v>83</v>
      </c>
      <c r="D95" s="13" t="s">
        <v>408</v>
      </c>
      <c r="E95" s="12" t="s">
        <v>22</v>
      </c>
      <c r="F95" s="12">
        <v>1</v>
      </c>
      <c r="G95" s="14" t="s">
        <v>133</v>
      </c>
      <c r="H95" s="15">
        <v>100000</v>
      </c>
      <c r="I95" s="15">
        <f t="shared" si="0"/>
        <v>100000</v>
      </c>
      <c r="J95" s="13" t="s">
        <v>106</v>
      </c>
    </row>
    <row r="96" spans="1:10" ht="12.5" x14ac:dyDescent="0.25">
      <c r="A96" s="12"/>
      <c r="B96" s="12">
        <v>17</v>
      </c>
      <c r="C96" s="12" t="s">
        <v>51</v>
      </c>
      <c r="D96" s="13" t="s">
        <v>435</v>
      </c>
      <c r="E96" s="12" t="s">
        <v>22</v>
      </c>
      <c r="F96" s="12">
        <v>1</v>
      </c>
      <c r="G96" s="14" t="s">
        <v>133</v>
      </c>
      <c r="H96" s="15">
        <v>150000</v>
      </c>
      <c r="I96" s="15">
        <f t="shared" si="0"/>
        <v>150000</v>
      </c>
      <c r="J96" s="13" t="s">
        <v>437</v>
      </c>
    </row>
    <row r="97" spans="1:10" ht="12.5" x14ac:dyDescent="0.25">
      <c r="A97" s="12"/>
      <c r="B97" s="12">
        <v>17</v>
      </c>
      <c r="C97" s="12" t="s">
        <v>51</v>
      </c>
      <c r="D97" s="13" t="s">
        <v>349</v>
      </c>
      <c r="E97" s="12" t="s">
        <v>22</v>
      </c>
      <c r="F97" s="12">
        <v>1</v>
      </c>
      <c r="G97" s="14" t="s">
        <v>133</v>
      </c>
      <c r="H97" s="15">
        <v>580000</v>
      </c>
      <c r="I97" s="15">
        <f t="shared" si="0"/>
        <v>580000</v>
      </c>
      <c r="J97" s="13" t="s">
        <v>438</v>
      </c>
    </row>
    <row r="98" spans="1:10" ht="12.5" x14ac:dyDescent="0.25">
      <c r="A98" s="12"/>
      <c r="B98" s="12">
        <v>17</v>
      </c>
      <c r="C98" s="12" t="s">
        <v>51</v>
      </c>
      <c r="D98" s="13" t="s">
        <v>440</v>
      </c>
      <c r="E98" s="12" t="s">
        <v>22</v>
      </c>
      <c r="F98" s="12">
        <v>1</v>
      </c>
      <c r="G98" s="14" t="s">
        <v>133</v>
      </c>
      <c r="H98" s="15">
        <v>125000</v>
      </c>
      <c r="I98" s="15">
        <f t="shared" si="0"/>
        <v>125000</v>
      </c>
      <c r="J98" s="13" t="s">
        <v>442</v>
      </c>
    </row>
    <row r="99" spans="1:10" ht="12.5" x14ac:dyDescent="0.25">
      <c r="A99" s="12"/>
      <c r="B99" s="12">
        <v>18</v>
      </c>
      <c r="C99" s="12" t="s">
        <v>51</v>
      </c>
      <c r="D99" s="13" t="s">
        <v>359</v>
      </c>
      <c r="E99" s="12" t="s">
        <v>22</v>
      </c>
      <c r="F99" s="12">
        <v>1</v>
      </c>
      <c r="G99" s="14" t="s">
        <v>133</v>
      </c>
      <c r="H99" s="15">
        <v>120000</v>
      </c>
      <c r="I99" s="15">
        <f t="shared" si="0"/>
        <v>120000</v>
      </c>
      <c r="J99" s="14" t="s">
        <v>443</v>
      </c>
    </row>
    <row r="100" spans="1:10" ht="12.5" x14ac:dyDescent="0.25">
      <c r="A100" s="12"/>
      <c r="B100" s="12">
        <v>19</v>
      </c>
      <c r="C100" s="12" t="s">
        <v>10</v>
      </c>
      <c r="D100" s="13" t="s">
        <v>445</v>
      </c>
      <c r="E100" s="12" t="s">
        <v>68</v>
      </c>
      <c r="F100" s="12">
        <v>1</v>
      </c>
      <c r="G100" s="14" t="s">
        <v>133</v>
      </c>
      <c r="H100" s="15">
        <v>55000</v>
      </c>
      <c r="I100" s="15">
        <f t="shared" si="0"/>
        <v>55000</v>
      </c>
      <c r="J100" s="13" t="s">
        <v>447</v>
      </c>
    </row>
    <row r="101" spans="1:10" ht="12.5" x14ac:dyDescent="0.25">
      <c r="A101" s="12"/>
      <c r="B101" s="12">
        <v>19</v>
      </c>
      <c r="C101" s="12" t="s">
        <v>51</v>
      </c>
      <c r="D101" s="13" t="s">
        <v>448</v>
      </c>
      <c r="E101" s="12" t="s">
        <v>22</v>
      </c>
      <c r="F101" s="12">
        <v>1</v>
      </c>
      <c r="G101" s="14" t="s">
        <v>133</v>
      </c>
      <c r="H101" s="15">
        <v>75000</v>
      </c>
      <c r="I101" s="15">
        <f t="shared" si="0"/>
        <v>75000</v>
      </c>
      <c r="J101" s="13" t="s">
        <v>449</v>
      </c>
    </row>
    <row r="102" spans="1:10" ht="12.5" x14ac:dyDescent="0.25">
      <c r="A102" s="12"/>
      <c r="B102" s="12">
        <v>20</v>
      </c>
      <c r="C102" s="12" t="s">
        <v>51</v>
      </c>
      <c r="D102" s="13" t="s">
        <v>450</v>
      </c>
      <c r="E102" s="12" t="s">
        <v>22</v>
      </c>
      <c r="F102" s="12">
        <v>1</v>
      </c>
      <c r="G102" s="14" t="s">
        <v>133</v>
      </c>
      <c r="H102" s="15">
        <v>280000</v>
      </c>
      <c r="I102" s="15">
        <f t="shared" si="0"/>
        <v>280000</v>
      </c>
      <c r="J102" s="13" t="s">
        <v>452</v>
      </c>
    </row>
    <row r="103" spans="1:10" ht="12.5" x14ac:dyDescent="0.25">
      <c r="A103" s="12"/>
      <c r="B103" s="12">
        <v>20</v>
      </c>
      <c r="C103" s="12" t="s">
        <v>10</v>
      </c>
      <c r="D103" s="13" t="s">
        <v>453</v>
      </c>
      <c r="E103" s="12" t="s">
        <v>68</v>
      </c>
      <c r="F103" s="12">
        <v>1</v>
      </c>
      <c r="G103" s="14" t="s">
        <v>133</v>
      </c>
      <c r="H103" s="15">
        <v>85000</v>
      </c>
      <c r="I103" s="15">
        <f t="shared" si="0"/>
        <v>85000</v>
      </c>
      <c r="J103" s="13" t="s">
        <v>455</v>
      </c>
    </row>
    <row r="104" spans="1:10" ht="12.5" x14ac:dyDescent="0.25">
      <c r="A104" s="12"/>
      <c r="B104" s="12">
        <v>20</v>
      </c>
      <c r="C104" s="12" t="s">
        <v>51</v>
      </c>
      <c r="D104" s="13" t="s">
        <v>456</v>
      </c>
      <c r="E104" s="12" t="s">
        <v>22</v>
      </c>
      <c r="F104" s="12">
        <v>1</v>
      </c>
      <c r="G104" s="14" t="s">
        <v>133</v>
      </c>
      <c r="H104" s="15">
        <v>650000</v>
      </c>
      <c r="I104" s="15">
        <f t="shared" si="0"/>
        <v>650000</v>
      </c>
      <c r="J104" s="13" t="s">
        <v>422</v>
      </c>
    </row>
    <row r="105" spans="1:10" ht="12.5" x14ac:dyDescent="0.25">
      <c r="A105" s="12"/>
      <c r="B105" s="12">
        <v>22</v>
      </c>
      <c r="C105" s="12" t="s">
        <v>51</v>
      </c>
      <c r="D105" s="13" t="s">
        <v>458</v>
      </c>
      <c r="E105" s="12" t="s">
        <v>22</v>
      </c>
      <c r="F105" s="12">
        <v>1</v>
      </c>
      <c r="G105" s="14" t="s">
        <v>133</v>
      </c>
      <c r="H105" s="15">
        <v>440000</v>
      </c>
      <c r="I105" s="15">
        <f t="shared" si="0"/>
        <v>440000</v>
      </c>
      <c r="J105" s="13" t="s">
        <v>87</v>
      </c>
    </row>
    <row r="106" spans="1:10" ht="12.5" x14ac:dyDescent="0.25">
      <c r="A106" s="12"/>
      <c r="B106" s="12">
        <v>24</v>
      </c>
      <c r="C106" s="12" t="s">
        <v>51</v>
      </c>
      <c r="D106" s="13" t="s">
        <v>460</v>
      </c>
      <c r="E106" s="12" t="s">
        <v>22</v>
      </c>
      <c r="F106" s="12">
        <v>1</v>
      </c>
      <c r="G106" s="14" t="s">
        <v>133</v>
      </c>
      <c r="H106" s="15">
        <v>505000</v>
      </c>
      <c r="I106" s="15">
        <f t="shared" si="0"/>
        <v>505000</v>
      </c>
      <c r="J106" s="13" t="s">
        <v>215</v>
      </c>
    </row>
    <row r="107" spans="1:10" ht="12.5" x14ac:dyDescent="0.25">
      <c r="A107" s="12"/>
      <c r="B107" s="12">
        <v>25</v>
      </c>
      <c r="C107" s="12" t="s">
        <v>51</v>
      </c>
      <c r="D107" s="13" t="s">
        <v>463</v>
      </c>
      <c r="E107" s="12" t="s">
        <v>22</v>
      </c>
      <c r="F107" s="12">
        <v>1</v>
      </c>
      <c r="G107" s="14" t="s">
        <v>133</v>
      </c>
      <c r="H107" s="15">
        <v>230000</v>
      </c>
      <c r="I107" s="15">
        <f t="shared" si="0"/>
        <v>230000</v>
      </c>
      <c r="J107" s="13" t="s">
        <v>465</v>
      </c>
    </row>
    <row r="108" spans="1:10" ht="12.5" x14ac:dyDescent="0.25">
      <c r="A108" s="12"/>
      <c r="B108" s="12">
        <v>26</v>
      </c>
      <c r="C108" s="12" t="s">
        <v>51</v>
      </c>
      <c r="D108" s="13" t="s">
        <v>466</v>
      </c>
      <c r="E108" s="12" t="s">
        <v>22</v>
      </c>
      <c r="F108" s="12">
        <v>1</v>
      </c>
      <c r="G108" s="14" t="s">
        <v>133</v>
      </c>
      <c r="H108" s="15">
        <v>600000</v>
      </c>
      <c r="I108" s="15">
        <f t="shared" si="0"/>
        <v>600000</v>
      </c>
      <c r="J108" s="13" t="s">
        <v>468</v>
      </c>
    </row>
    <row r="109" spans="1:10" ht="12.5" x14ac:dyDescent="0.25">
      <c r="A109" s="12"/>
      <c r="B109" s="12">
        <v>27</v>
      </c>
      <c r="C109" s="12" t="s">
        <v>51</v>
      </c>
      <c r="D109" s="13" t="s">
        <v>349</v>
      </c>
      <c r="E109" s="12" t="s">
        <v>22</v>
      </c>
      <c r="F109" s="12">
        <v>1</v>
      </c>
      <c r="G109" s="14" t="s">
        <v>133</v>
      </c>
      <c r="H109" s="15">
        <v>165000</v>
      </c>
      <c r="I109" s="15">
        <f t="shared" si="0"/>
        <v>165000</v>
      </c>
      <c r="J109" s="13" t="s">
        <v>351</v>
      </c>
    </row>
    <row r="110" spans="1:10" ht="12.5" x14ac:dyDescent="0.25">
      <c r="A110" s="12"/>
      <c r="B110" s="12">
        <v>27</v>
      </c>
      <c r="C110" s="12" t="s">
        <v>51</v>
      </c>
      <c r="D110" s="13" t="s">
        <v>471</v>
      </c>
      <c r="E110" s="12" t="s">
        <v>22</v>
      </c>
      <c r="F110" s="12">
        <v>1</v>
      </c>
      <c r="G110" s="14" t="s">
        <v>133</v>
      </c>
      <c r="H110" s="15">
        <v>260000</v>
      </c>
      <c r="I110" s="15">
        <f t="shared" si="0"/>
        <v>260000</v>
      </c>
      <c r="J110" s="13" t="s">
        <v>472</v>
      </c>
    </row>
    <row r="111" spans="1:10" ht="12.5" x14ac:dyDescent="0.25">
      <c r="A111" s="12"/>
      <c r="B111" s="12">
        <v>28</v>
      </c>
      <c r="C111" s="12" t="s">
        <v>51</v>
      </c>
      <c r="D111" s="13" t="s">
        <v>474</v>
      </c>
      <c r="E111" s="12" t="s">
        <v>22</v>
      </c>
      <c r="F111" s="12">
        <v>1</v>
      </c>
      <c r="G111" s="14" t="s">
        <v>133</v>
      </c>
      <c r="H111" s="15">
        <v>190000</v>
      </c>
      <c r="I111" s="15">
        <f t="shared" si="0"/>
        <v>190000</v>
      </c>
      <c r="J111" s="13" t="s">
        <v>476</v>
      </c>
    </row>
    <row r="112" spans="1:10" ht="12.5" x14ac:dyDescent="0.25">
      <c r="A112" s="12"/>
      <c r="B112" s="12">
        <v>28</v>
      </c>
      <c r="C112" s="12" t="s">
        <v>83</v>
      </c>
      <c r="D112" s="13" t="s">
        <v>408</v>
      </c>
      <c r="E112" s="12" t="s">
        <v>22</v>
      </c>
      <c r="F112" s="12">
        <v>1</v>
      </c>
      <c r="G112" s="14" t="s">
        <v>133</v>
      </c>
      <c r="H112" s="15">
        <v>105000</v>
      </c>
      <c r="I112" s="15">
        <f t="shared" si="0"/>
        <v>105000</v>
      </c>
      <c r="J112" s="13" t="s">
        <v>106</v>
      </c>
    </row>
    <row r="113" spans="1:10" ht="12.5" x14ac:dyDescent="0.25">
      <c r="A113" s="12"/>
      <c r="B113" s="12">
        <v>28</v>
      </c>
      <c r="C113" s="12" t="s">
        <v>51</v>
      </c>
      <c r="D113" s="13" t="s">
        <v>337</v>
      </c>
      <c r="E113" s="12" t="s">
        <v>22</v>
      </c>
      <c r="F113" s="12">
        <v>1</v>
      </c>
      <c r="G113" s="14" t="s">
        <v>133</v>
      </c>
      <c r="H113" s="15">
        <v>350000</v>
      </c>
      <c r="I113" s="15">
        <f t="shared" si="0"/>
        <v>350000</v>
      </c>
      <c r="J113" s="13" t="s">
        <v>338</v>
      </c>
    </row>
    <row r="114" spans="1:10" ht="12.5" x14ac:dyDescent="0.25">
      <c r="A114" s="12"/>
      <c r="B114" s="12">
        <v>28</v>
      </c>
      <c r="C114" s="12" t="s">
        <v>51</v>
      </c>
      <c r="D114" s="13" t="s">
        <v>471</v>
      </c>
      <c r="E114" s="12" t="s">
        <v>22</v>
      </c>
      <c r="F114" s="12">
        <v>1</v>
      </c>
      <c r="G114" s="14" t="s">
        <v>133</v>
      </c>
      <c r="H114" s="15">
        <v>100000</v>
      </c>
      <c r="I114" s="15">
        <f t="shared" si="0"/>
        <v>100000</v>
      </c>
      <c r="J114" s="13" t="s">
        <v>477</v>
      </c>
    </row>
    <row r="115" spans="1:10" ht="12.5" x14ac:dyDescent="0.25">
      <c r="A115" s="12"/>
      <c r="B115" s="12">
        <v>29</v>
      </c>
      <c r="C115" s="12" t="s">
        <v>51</v>
      </c>
      <c r="D115" s="13" t="s">
        <v>478</v>
      </c>
      <c r="E115" s="12" t="s">
        <v>22</v>
      </c>
      <c r="F115" s="12">
        <v>1</v>
      </c>
      <c r="G115" s="14" t="s">
        <v>133</v>
      </c>
      <c r="H115" s="15">
        <v>195000</v>
      </c>
      <c r="I115" s="15">
        <f t="shared" si="0"/>
        <v>195000</v>
      </c>
      <c r="J115" s="13" t="s">
        <v>479</v>
      </c>
    </row>
    <row r="116" spans="1:10" ht="12.5" x14ac:dyDescent="0.25">
      <c r="A116" s="12"/>
      <c r="B116" s="12">
        <v>13</v>
      </c>
      <c r="C116" s="12" t="s">
        <v>51</v>
      </c>
      <c r="D116" s="13" t="s">
        <v>480</v>
      </c>
      <c r="E116" s="12" t="s">
        <v>22</v>
      </c>
      <c r="F116" s="12">
        <v>1</v>
      </c>
      <c r="G116" s="14" t="s">
        <v>133</v>
      </c>
      <c r="H116" s="15">
        <v>270000</v>
      </c>
      <c r="I116" s="15">
        <f t="shared" si="0"/>
        <v>270000</v>
      </c>
      <c r="J116" s="13" t="s">
        <v>481</v>
      </c>
    </row>
    <row r="117" spans="1:10" ht="12.5" x14ac:dyDescent="0.25">
      <c r="A117" s="12"/>
      <c r="B117" s="12">
        <v>13</v>
      </c>
      <c r="C117" s="12" t="s">
        <v>51</v>
      </c>
      <c r="D117" s="13" t="s">
        <v>359</v>
      </c>
      <c r="E117" s="12" t="s">
        <v>22</v>
      </c>
      <c r="F117" s="12">
        <v>1</v>
      </c>
      <c r="G117" s="14" t="s">
        <v>133</v>
      </c>
      <c r="H117" s="15">
        <v>231000</v>
      </c>
      <c r="I117" s="15">
        <f t="shared" si="0"/>
        <v>231000</v>
      </c>
      <c r="J117" s="13" t="s">
        <v>482</v>
      </c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A195" s="12"/>
      <c r="B195" s="12"/>
      <c r="C195" s="12"/>
      <c r="D195" s="13"/>
      <c r="E195" s="12"/>
      <c r="F195" s="12"/>
      <c r="G195" s="14"/>
      <c r="H195" s="15"/>
      <c r="I195" s="15">
        <f t="shared" si="0"/>
        <v>0</v>
      </c>
      <c r="J195" s="13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J1009" s="18"/>
    </row>
    <row r="1010" spans="6:10" ht="12.5" x14ac:dyDescent="0.25">
      <c r="F1010" s="12"/>
      <c r="J1010" s="18"/>
    </row>
  </sheetData>
  <autoFilter ref="A19:J195" xr:uid="{00000000-0009-0000-0000-000001000000}">
    <sortState xmlns:xlrd2="http://schemas.microsoft.com/office/spreadsheetml/2017/richdata2" ref="A19:J195">
      <sortCondition ref="B19:B195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2">
    <dataValidation type="list" allowBlank="1" showErrorMessage="1" sqref="E20:E195" xr:uid="{00000000-0002-0000-0100-000000000000}">
      <formula1>"One Time,Reccuring"</formula1>
    </dataValidation>
    <dataValidation type="list" allowBlank="1" showErrorMessage="1" sqref="P18 C20:C195" xr:uid="{00000000-0002-0000-0100-000001000000}">
      <formula1>"Stock Dagangan,Stock Bahan,Operational,Packing,Tenant,Gaji Karyawan,Team"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Revenue'!AL24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18080000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112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35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SUM(H:H)</f>
        <v>18080000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4349000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194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IFERROR(__xludf.DUMMYFUNCTION("filter(A20:J194,C20:C194=P18)"),"7")</f>
        <v>7</v>
      </c>
      <c r="O20" s="7">
        <f ca="1">IFERROR(__xludf.DUMMYFUNCTION("""COMPUTED_VALUE"""),1)</f>
        <v>1</v>
      </c>
      <c r="P20" s="7" t="str">
        <f ca="1">IFERROR(__xludf.DUMMYFUNCTION("""COMPUTED_VALUE"""),"Gaji Karyawan")</f>
        <v>Gaji Karyawan</v>
      </c>
      <c r="Q20" s="7" t="str">
        <f ca="1">IFERROR(__xludf.DUMMYFUNCTION("""COMPUTED_VALUE"""),"Gaji Store + THR")</f>
        <v>Gaji Store + THR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IFERROR(__xludf.DUMMYFUNCTION("""COMPUTED_VALUE"""),2262000)</f>
        <v>2262000</v>
      </c>
      <c r="V20" s="17">
        <f ca="1">IFERROR(__xludf.DUMMYFUNCTION("""COMPUTED_VALUE"""),2262000)</f>
        <v>2262000</v>
      </c>
      <c r="W20" s="7" t="str">
        <f ca="1">IFERROR(__xludf.DUMMYFUNCTION("""COMPUTED_VALUE"""),"Ilmi ")</f>
        <v xml:space="preserve">Ilmi 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IFERROR(__xludf.DUMMYFUNCTION("""COMPUTED_VALUE"""),"8")</f>
        <v>8</v>
      </c>
      <c r="O21" s="7">
        <f ca="1">IFERROR(__xludf.DUMMYFUNCTION("""COMPUTED_VALUE"""),1)</f>
        <v>1</v>
      </c>
      <c r="P21" s="7" t="str">
        <f ca="1">IFERROR(__xludf.DUMMYFUNCTION("""COMPUTED_VALUE"""),"Gaji Karyawan")</f>
        <v>Gaji Karyawan</v>
      </c>
      <c r="Q21" s="7" t="str">
        <f ca="1">IFERROR(__xludf.DUMMYFUNCTION("""COMPUTED_VALUE"""),"Gaji Store + THR")</f>
        <v>Gaji Store + THR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IFERROR(__xludf.DUMMYFUNCTION("""COMPUTED_VALUE"""),2022000)</f>
        <v>2022000</v>
      </c>
      <c r="V21" s="17">
        <f ca="1">IFERROR(__xludf.DUMMYFUNCTION("""COMPUTED_VALUE"""),2022000)</f>
        <v>2022000</v>
      </c>
      <c r="W21" s="7" t="str">
        <f ca="1">IFERROR(__xludf.DUMMYFUNCTION("""COMPUTED_VALUE"""),"Erni")</f>
        <v>Erni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IFERROR(__xludf.DUMMYFUNCTION("""COMPUTED_VALUE"""),"11")</f>
        <v>11</v>
      </c>
      <c r="O22" s="7">
        <f ca="1">IFERROR(__xludf.DUMMYFUNCTION("""COMPUTED_VALUE"""),1)</f>
        <v>1</v>
      </c>
      <c r="P22" s="7" t="str">
        <f ca="1">IFERROR(__xludf.DUMMYFUNCTION("""COMPUTED_VALUE"""),"Gaji Karyawan")</f>
        <v>Gaji Karyawan</v>
      </c>
      <c r="Q22" s="7" t="str">
        <f ca="1">IFERROR(__xludf.DUMMYFUNCTION("""COMPUTED_VALUE"""),"Gaji CFD")</f>
        <v>Gaji CFD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IFERROR(__xludf.DUMMYFUNCTION("""COMPUTED_VALUE"""),"bulan ")</f>
        <v xml:space="preserve">bulan </v>
      </c>
      <c r="U22" s="17">
        <f ca="1">IFERROR(__xludf.DUMMYFUNCTION("""COMPUTED_VALUE"""),65000)</f>
        <v>65000</v>
      </c>
      <c r="V22" s="17">
        <f ca="1">IFERROR(__xludf.DUMMYFUNCTION("""COMPUTED_VALUE"""),65000)</f>
        <v>65000</v>
      </c>
      <c r="W22" s="7" t="str">
        <f ca="1">IFERROR(__xludf.DUMMYFUNCTION("""COMPUTED_VALUE"""),"Gaji CFD")</f>
        <v>Gaji CFD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U23" s="18"/>
      <c r="V23" s="18"/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U24" s="18"/>
      <c r="V24" s="18"/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U25" s="18"/>
      <c r="V25" s="18"/>
    </row>
    <row r="26" spans="1:25" ht="12.5" x14ac:dyDescent="0.25">
      <c r="A26" s="12" t="s">
        <v>119</v>
      </c>
      <c r="B26" s="12">
        <v>1</v>
      </c>
      <c r="C26" s="12" t="s">
        <v>35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2262000</v>
      </c>
      <c r="I26" s="15">
        <f t="shared" si="0"/>
        <v>2262000</v>
      </c>
      <c r="J26" s="13" t="s">
        <v>37</v>
      </c>
      <c r="U26" s="18"/>
      <c r="V26" s="18"/>
    </row>
    <row r="27" spans="1:25" ht="12.5" x14ac:dyDescent="0.25">
      <c r="A27" s="12" t="s">
        <v>121</v>
      </c>
      <c r="B27" s="12">
        <v>1</v>
      </c>
      <c r="C27" s="12" t="s">
        <v>35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2022000</v>
      </c>
      <c r="I27" s="15">
        <f t="shared" si="0"/>
        <v>2022000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39</v>
      </c>
      <c r="D28" s="13" t="s">
        <v>40</v>
      </c>
      <c r="E28" s="12" t="s">
        <v>22</v>
      </c>
      <c r="F28" s="12">
        <v>1</v>
      </c>
      <c r="G28" s="14" t="s">
        <v>23</v>
      </c>
      <c r="H28" s="15">
        <v>120000</v>
      </c>
      <c r="I28" s="15">
        <f t="shared" si="0"/>
        <v>120000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1</v>
      </c>
      <c r="G29" s="14" t="s">
        <v>23</v>
      </c>
      <c r="H29" s="15">
        <v>150000</v>
      </c>
      <c r="I29" s="15">
        <f t="shared" si="0"/>
        <v>150000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35</v>
      </c>
      <c r="D30" s="13" t="s">
        <v>44</v>
      </c>
      <c r="E30" s="12" t="s">
        <v>22</v>
      </c>
      <c r="F30" s="12">
        <v>1</v>
      </c>
      <c r="G30" s="14" t="s">
        <v>23</v>
      </c>
      <c r="H30" s="15">
        <v>65000</v>
      </c>
      <c r="I30" s="15">
        <f t="shared" si="0"/>
        <v>65000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27</v>
      </c>
      <c r="C33" s="12" t="s">
        <v>51</v>
      </c>
      <c r="D33" s="20" t="s">
        <v>58</v>
      </c>
      <c r="E33" s="12" t="s">
        <v>22</v>
      </c>
      <c r="F33" s="12">
        <v>1</v>
      </c>
      <c r="G33" s="14" t="s">
        <v>23</v>
      </c>
      <c r="H33" s="15">
        <v>287000</v>
      </c>
      <c r="I33" s="15">
        <f t="shared" si="0"/>
        <v>287000</v>
      </c>
      <c r="J33" s="13" t="s">
        <v>59</v>
      </c>
      <c r="U33" s="18"/>
      <c r="V33" s="18"/>
    </row>
    <row r="34" spans="1:22" ht="12.5" x14ac:dyDescent="0.25">
      <c r="A34" s="12" t="s">
        <v>128</v>
      </c>
      <c r="B34" s="12">
        <v>27</v>
      </c>
      <c r="C34" s="12" t="s">
        <v>51</v>
      </c>
      <c r="D34" s="20" t="s">
        <v>60</v>
      </c>
      <c r="E34" s="12" t="s">
        <v>22</v>
      </c>
      <c r="F34" s="12">
        <v>1</v>
      </c>
      <c r="G34" s="14" t="s">
        <v>23</v>
      </c>
      <c r="H34" s="15">
        <v>35000</v>
      </c>
      <c r="I34" s="15">
        <f t="shared" si="0"/>
        <v>35000</v>
      </c>
      <c r="J34" s="13" t="s">
        <v>62</v>
      </c>
      <c r="U34" s="18"/>
      <c r="V34" s="18"/>
    </row>
    <row r="35" spans="1:22" ht="12.5" x14ac:dyDescent="0.25">
      <c r="A35" s="12" t="s">
        <v>129</v>
      </c>
      <c r="B35" s="12">
        <v>27</v>
      </c>
      <c r="C35" s="12" t="s">
        <v>51</v>
      </c>
      <c r="D35" s="20" t="s">
        <v>63</v>
      </c>
      <c r="E35" s="12" t="s">
        <v>22</v>
      </c>
      <c r="F35" s="12">
        <v>1</v>
      </c>
      <c r="G35" s="14" t="s">
        <v>23</v>
      </c>
      <c r="H35" s="15">
        <v>80000</v>
      </c>
      <c r="I35" s="15">
        <f t="shared" si="0"/>
        <v>80000</v>
      </c>
      <c r="J35" s="13" t="s">
        <v>64</v>
      </c>
      <c r="U35" s="18"/>
      <c r="V35" s="18"/>
    </row>
    <row r="36" spans="1:22" ht="12.5" x14ac:dyDescent="0.25">
      <c r="A36" s="12" t="s">
        <v>130</v>
      </c>
      <c r="B36" s="12">
        <v>27</v>
      </c>
      <c r="C36" s="12" t="s">
        <v>51</v>
      </c>
      <c r="D36" s="20" t="s">
        <v>65</v>
      </c>
      <c r="E36" s="12" t="s">
        <v>22</v>
      </c>
      <c r="F36" s="12">
        <v>1</v>
      </c>
      <c r="G36" s="14" t="s">
        <v>23</v>
      </c>
      <c r="H36" s="15">
        <v>0</v>
      </c>
      <c r="I36" s="15">
        <f t="shared" si="0"/>
        <v>0</v>
      </c>
      <c r="J36" s="13" t="s">
        <v>66</v>
      </c>
    </row>
    <row r="37" spans="1:22" ht="12.5" x14ac:dyDescent="0.25">
      <c r="A37" s="12" t="s">
        <v>131</v>
      </c>
      <c r="B37" s="12">
        <v>3</v>
      </c>
      <c r="C37" s="12" t="s">
        <v>51</v>
      </c>
      <c r="D37" s="13" t="s">
        <v>132</v>
      </c>
      <c r="E37" s="12" t="s">
        <v>22</v>
      </c>
      <c r="F37" s="12">
        <v>1</v>
      </c>
      <c r="G37" s="14" t="s">
        <v>133</v>
      </c>
      <c r="H37" s="15">
        <v>435000</v>
      </c>
      <c r="I37" s="15">
        <f t="shared" si="0"/>
        <v>435000</v>
      </c>
      <c r="J37" s="13" t="s">
        <v>134</v>
      </c>
    </row>
    <row r="38" spans="1:22" ht="12.5" x14ac:dyDescent="0.25">
      <c r="A38" s="12" t="s">
        <v>135</v>
      </c>
      <c r="B38" s="12">
        <v>6</v>
      </c>
      <c r="C38" s="12" t="s">
        <v>10</v>
      </c>
      <c r="D38" s="13" t="s">
        <v>136</v>
      </c>
      <c r="E38" s="12" t="s">
        <v>68</v>
      </c>
      <c r="F38" s="12">
        <v>1</v>
      </c>
      <c r="G38" s="14" t="s">
        <v>133</v>
      </c>
      <c r="H38" s="15">
        <v>235000</v>
      </c>
      <c r="I38" s="15">
        <f t="shared" si="0"/>
        <v>235000</v>
      </c>
      <c r="J38" s="13" t="s">
        <v>137</v>
      </c>
    </row>
    <row r="39" spans="1:22" ht="12.5" x14ac:dyDescent="0.25">
      <c r="A39" s="12" t="s">
        <v>138</v>
      </c>
      <c r="B39" s="12">
        <v>7</v>
      </c>
      <c r="C39" s="12" t="s">
        <v>51</v>
      </c>
      <c r="D39" s="13" t="s">
        <v>139</v>
      </c>
      <c r="E39" s="12" t="s">
        <v>22</v>
      </c>
      <c r="F39" s="12">
        <v>1</v>
      </c>
      <c r="G39" s="14" t="s">
        <v>133</v>
      </c>
      <c r="H39" s="15">
        <v>100000</v>
      </c>
      <c r="I39" s="15">
        <f t="shared" si="0"/>
        <v>100000</v>
      </c>
      <c r="J39" s="13" t="s">
        <v>140</v>
      </c>
    </row>
    <row r="40" spans="1:22" ht="12.5" x14ac:dyDescent="0.25">
      <c r="A40" s="12" t="s">
        <v>141</v>
      </c>
      <c r="B40" s="12">
        <v>7</v>
      </c>
      <c r="C40" s="12" t="s">
        <v>51</v>
      </c>
      <c r="D40" s="13" t="s">
        <v>142</v>
      </c>
      <c r="E40" s="12" t="s">
        <v>22</v>
      </c>
      <c r="F40" s="12">
        <v>1</v>
      </c>
      <c r="G40" s="14" t="s">
        <v>133</v>
      </c>
      <c r="H40" s="15">
        <v>75000</v>
      </c>
      <c r="I40" s="15">
        <f t="shared" si="0"/>
        <v>75000</v>
      </c>
      <c r="J40" s="13" t="s">
        <v>143</v>
      </c>
    </row>
    <row r="41" spans="1:22" ht="12.5" x14ac:dyDescent="0.25">
      <c r="A41" s="12" t="s">
        <v>144</v>
      </c>
      <c r="B41" s="12">
        <v>10</v>
      </c>
      <c r="C41" s="12" t="s">
        <v>10</v>
      </c>
      <c r="D41" s="13" t="s">
        <v>145</v>
      </c>
      <c r="E41" s="12" t="s">
        <v>22</v>
      </c>
      <c r="F41" s="12">
        <v>1</v>
      </c>
      <c r="G41" s="14" t="s">
        <v>133</v>
      </c>
      <c r="H41" s="15">
        <v>60000</v>
      </c>
      <c r="I41" s="15">
        <f t="shared" si="0"/>
        <v>60000</v>
      </c>
      <c r="J41" s="13" t="s">
        <v>146</v>
      </c>
    </row>
    <row r="42" spans="1:22" ht="12.5" x14ac:dyDescent="0.25">
      <c r="A42" s="12" t="s">
        <v>147</v>
      </c>
      <c r="B42" s="12">
        <v>10</v>
      </c>
      <c r="C42" s="12" t="s">
        <v>83</v>
      </c>
      <c r="D42" s="13" t="s">
        <v>148</v>
      </c>
      <c r="E42" s="12" t="s">
        <v>22</v>
      </c>
      <c r="F42" s="12">
        <v>1</v>
      </c>
      <c r="G42" s="14" t="s">
        <v>133</v>
      </c>
      <c r="H42" s="15">
        <v>50000</v>
      </c>
      <c r="I42" s="15">
        <f t="shared" si="0"/>
        <v>50000</v>
      </c>
      <c r="J42" s="13" t="s">
        <v>149</v>
      </c>
    </row>
    <row r="43" spans="1:22" ht="12.5" x14ac:dyDescent="0.25">
      <c r="A43" s="12" t="s">
        <v>150</v>
      </c>
      <c r="B43" s="12">
        <v>10</v>
      </c>
      <c r="C43" s="12" t="s">
        <v>51</v>
      </c>
      <c r="D43" s="13" t="s">
        <v>151</v>
      </c>
      <c r="E43" s="12" t="s">
        <v>22</v>
      </c>
      <c r="F43" s="12">
        <v>1</v>
      </c>
      <c r="G43" s="14" t="s">
        <v>133</v>
      </c>
      <c r="H43" s="15">
        <v>65500</v>
      </c>
      <c r="I43" s="15">
        <f t="shared" si="0"/>
        <v>65500</v>
      </c>
      <c r="J43" s="13" t="s">
        <v>152</v>
      </c>
    </row>
    <row r="44" spans="1:22" ht="12.5" x14ac:dyDescent="0.25">
      <c r="A44" s="12" t="s">
        <v>153</v>
      </c>
      <c r="B44" s="12">
        <v>10</v>
      </c>
      <c r="C44" s="12" t="s">
        <v>51</v>
      </c>
      <c r="D44" s="13" t="s">
        <v>154</v>
      </c>
      <c r="E44" s="12" t="s">
        <v>22</v>
      </c>
      <c r="F44" s="12">
        <v>1</v>
      </c>
      <c r="G44" s="14" t="s">
        <v>133</v>
      </c>
      <c r="H44" s="15">
        <v>145000</v>
      </c>
      <c r="I44" s="15">
        <f t="shared" si="0"/>
        <v>145000</v>
      </c>
      <c r="J44" s="13" t="s">
        <v>155</v>
      </c>
    </row>
    <row r="45" spans="1:22" ht="12.5" x14ac:dyDescent="0.25">
      <c r="A45" s="12" t="s">
        <v>156</v>
      </c>
      <c r="B45" s="12">
        <v>10</v>
      </c>
      <c r="C45" s="12" t="s">
        <v>83</v>
      </c>
      <c r="D45" s="13" t="s">
        <v>157</v>
      </c>
      <c r="E45" s="12" t="s">
        <v>22</v>
      </c>
      <c r="F45" s="12">
        <v>1</v>
      </c>
      <c r="G45" s="14" t="s">
        <v>133</v>
      </c>
      <c r="H45" s="15">
        <v>185000</v>
      </c>
      <c r="I45" s="15">
        <f t="shared" si="0"/>
        <v>185000</v>
      </c>
      <c r="J45" s="13" t="s">
        <v>106</v>
      </c>
    </row>
    <row r="46" spans="1:22" ht="12.5" x14ac:dyDescent="0.25">
      <c r="A46" s="12" t="s">
        <v>158</v>
      </c>
      <c r="B46" s="12">
        <v>10</v>
      </c>
      <c r="C46" s="12" t="s">
        <v>51</v>
      </c>
      <c r="D46" s="13" t="s">
        <v>159</v>
      </c>
      <c r="E46" s="12" t="s">
        <v>22</v>
      </c>
      <c r="F46" s="12">
        <v>1</v>
      </c>
      <c r="G46" s="14" t="s">
        <v>133</v>
      </c>
      <c r="H46" s="15">
        <v>90000</v>
      </c>
      <c r="I46" s="15">
        <f t="shared" si="0"/>
        <v>90000</v>
      </c>
      <c r="J46" s="13" t="s">
        <v>160</v>
      </c>
    </row>
    <row r="47" spans="1:22" ht="12.5" x14ac:dyDescent="0.25">
      <c r="A47" s="12" t="s">
        <v>161</v>
      </c>
      <c r="B47" s="12">
        <v>11</v>
      </c>
      <c r="C47" s="12" t="s">
        <v>51</v>
      </c>
      <c r="D47" s="13" t="s">
        <v>162</v>
      </c>
      <c r="E47" s="12" t="s">
        <v>22</v>
      </c>
      <c r="F47" s="12">
        <v>1</v>
      </c>
      <c r="G47" s="14" t="s">
        <v>133</v>
      </c>
      <c r="H47" s="15">
        <v>55000</v>
      </c>
      <c r="I47" s="15">
        <f t="shared" si="0"/>
        <v>55000</v>
      </c>
      <c r="J47" s="13" t="s">
        <v>163</v>
      </c>
    </row>
    <row r="48" spans="1:22" ht="12.5" x14ac:dyDescent="0.25">
      <c r="A48" s="12" t="s">
        <v>164</v>
      </c>
      <c r="B48" s="12">
        <v>11</v>
      </c>
      <c r="C48" s="12" t="s">
        <v>51</v>
      </c>
      <c r="D48" s="13" t="s">
        <v>165</v>
      </c>
      <c r="E48" s="12" t="s">
        <v>22</v>
      </c>
      <c r="F48" s="12">
        <v>1</v>
      </c>
      <c r="G48" s="14" t="s">
        <v>133</v>
      </c>
      <c r="H48" s="15">
        <v>400000</v>
      </c>
      <c r="I48" s="15">
        <f t="shared" si="0"/>
        <v>400000</v>
      </c>
      <c r="J48" s="13" t="s">
        <v>134</v>
      </c>
    </row>
    <row r="49" spans="1:10" ht="12.5" x14ac:dyDescent="0.25">
      <c r="A49" s="12" t="s">
        <v>166</v>
      </c>
      <c r="B49" s="12">
        <v>11</v>
      </c>
      <c r="C49" s="12" t="s">
        <v>51</v>
      </c>
      <c r="D49" s="13" t="s">
        <v>167</v>
      </c>
      <c r="E49" s="12" t="s">
        <v>22</v>
      </c>
      <c r="F49" s="12">
        <v>1</v>
      </c>
      <c r="G49" s="14" t="s">
        <v>133</v>
      </c>
      <c r="H49" s="15">
        <v>210000</v>
      </c>
      <c r="I49" s="15">
        <f t="shared" si="0"/>
        <v>210000</v>
      </c>
      <c r="J49" s="13" t="s">
        <v>168</v>
      </c>
    </row>
    <row r="50" spans="1:10" ht="12.5" x14ac:dyDescent="0.25">
      <c r="A50" s="12" t="s">
        <v>169</v>
      </c>
      <c r="B50" s="12">
        <v>12</v>
      </c>
      <c r="C50" s="12" t="s">
        <v>51</v>
      </c>
      <c r="D50" s="13" t="s">
        <v>151</v>
      </c>
      <c r="E50" s="12" t="s">
        <v>22</v>
      </c>
      <c r="F50" s="12">
        <v>1</v>
      </c>
      <c r="G50" s="14" t="s">
        <v>133</v>
      </c>
      <c r="H50" s="15">
        <v>105000</v>
      </c>
      <c r="I50" s="15">
        <f t="shared" si="0"/>
        <v>105000</v>
      </c>
      <c r="J50" s="13" t="s">
        <v>170</v>
      </c>
    </row>
    <row r="51" spans="1:10" ht="12.5" x14ac:dyDescent="0.25">
      <c r="A51" s="12" t="s">
        <v>171</v>
      </c>
      <c r="B51" s="12">
        <v>12</v>
      </c>
      <c r="C51" s="12" t="s">
        <v>51</v>
      </c>
      <c r="D51" s="13" t="s">
        <v>92</v>
      </c>
      <c r="E51" s="12" t="s">
        <v>22</v>
      </c>
      <c r="F51" s="12">
        <v>1</v>
      </c>
      <c r="G51" s="14" t="s">
        <v>133</v>
      </c>
      <c r="H51" s="15">
        <v>330000</v>
      </c>
      <c r="I51" s="15">
        <f t="shared" si="0"/>
        <v>330000</v>
      </c>
      <c r="J51" s="13" t="s">
        <v>93</v>
      </c>
    </row>
    <row r="52" spans="1:10" ht="12.5" x14ac:dyDescent="0.25">
      <c r="A52" s="12" t="s">
        <v>172</v>
      </c>
      <c r="B52" s="12">
        <v>12</v>
      </c>
      <c r="C52" s="12" t="s">
        <v>51</v>
      </c>
      <c r="D52" s="13" t="s">
        <v>173</v>
      </c>
      <c r="E52" s="12" t="s">
        <v>22</v>
      </c>
      <c r="F52" s="12">
        <v>1</v>
      </c>
      <c r="G52" s="14" t="s">
        <v>133</v>
      </c>
      <c r="H52" s="15">
        <v>240000</v>
      </c>
      <c r="I52" s="15">
        <f t="shared" si="0"/>
        <v>240000</v>
      </c>
      <c r="J52" s="13" t="s">
        <v>174</v>
      </c>
    </row>
    <row r="53" spans="1:10" ht="12.5" x14ac:dyDescent="0.25">
      <c r="A53" s="12" t="s">
        <v>175</v>
      </c>
      <c r="B53" s="12">
        <v>13</v>
      </c>
      <c r="C53" s="12" t="s">
        <v>51</v>
      </c>
      <c r="D53" s="13" t="s">
        <v>176</v>
      </c>
      <c r="E53" s="12" t="s">
        <v>22</v>
      </c>
      <c r="F53" s="12">
        <v>1</v>
      </c>
      <c r="G53" s="14" t="s">
        <v>133</v>
      </c>
      <c r="H53" s="15">
        <v>135000</v>
      </c>
      <c r="I53" s="15">
        <f t="shared" si="0"/>
        <v>135000</v>
      </c>
      <c r="J53" s="13" t="s">
        <v>177</v>
      </c>
    </row>
    <row r="54" spans="1:10" ht="12.5" x14ac:dyDescent="0.25">
      <c r="A54" s="12" t="s">
        <v>178</v>
      </c>
      <c r="B54" s="12">
        <v>13</v>
      </c>
      <c r="C54" s="12" t="s">
        <v>51</v>
      </c>
      <c r="D54" s="13" t="s">
        <v>179</v>
      </c>
      <c r="E54" s="12" t="s">
        <v>22</v>
      </c>
      <c r="F54" s="12">
        <v>1</v>
      </c>
      <c r="G54" s="14" t="s">
        <v>133</v>
      </c>
      <c r="H54" s="15">
        <v>185000</v>
      </c>
      <c r="I54" s="15">
        <f t="shared" si="0"/>
        <v>185000</v>
      </c>
      <c r="J54" s="13" t="s">
        <v>180</v>
      </c>
    </row>
    <row r="55" spans="1:10" ht="12.5" x14ac:dyDescent="0.25">
      <c r="A55" s="12" t="s">
        <v>181</v>
      </c>
      <c r="B55" s="12">
        <v>14</v>
      </c>
      <c r="C55" s="12" t="s">
        <v>51</v>
      </c>
      <c r="D55" s="13" t="s">
        <v>151</v>
      </c>
      <c r="E55" s="12" t="s">
        <v>22</v>
      </c>
      <c r="F55" s="12">
        <v>1</v>
      </c>
      <c r="G55" s="14" t="s">
        <v>133</v>
      </c>
      <c r="H55" s="15">
        <v>110000</v>
      </c>
      <c r="I55" s="15">
        <f t="shared" si="0"/>
        <v>110000</v>
      </c>
      <c r="J55" s="13" t="s">
        <v>182</v>
      </c>
    </row>
    <row r="56" spans="1:10" ht="12.5" x14ac:dyDescent="0.25">
      <c r="A56" s="12" t="s">
        <v>183</v>
      </c>
      <c r="B56" s="12">
        <v>15</v>
      </c>
      <c r="C56" s="12" t="s">
        <v>51</v>
      </c>
      <c r="D56" s="13" t="s">
        <v>184</v>
      </c>
      <c r="E56" s="12" t="s">
        <v>22</v>
      </c>
      <c r="F56" s="12">
        <v>1</v>
      </c>
      <c r="G56" s="14" t="s">
        <v>133</v>
      </c>
      <c r="H56" s="15">
        <v>160000</v>
      </c>
      <c r="I56" s="15">
        <f t="shared" si="0"/>
        <v>160000</v>
      </c>
      <c r="J56" s="13" t="s">
        <v>185</v>
      </c>
    </row>
    <row r="57" spans="1:10" ht="12.5" x14ac:dyDescent="0.25">
      <c r="A57" s="12" t="s">
        <v>186</v>
      </c>
      <c r="B57" s="12">
        <v>15</v>
      </c>
      <c r="C57" s="12" t="s">
        <v>51</v>
      </c>
      <c r="D57" s="13" t="s">
        <v>187</v>
      </c>
      <c r="E57" s="12" t="s">
        <v>22</v>
      </c>
      <c r="F57" s="12">
        <v>1</v>
      </c>
      <c r="G57" s="14" t="s">
        <v>133</v>
      </c>
      <c r="H57" s="15">
        <v>40000</v>
      </c>
      <c r="I57" s="15">
        <f t="shared" si="0"/>
        <v>40000</v>
      </c>
      <c r="J57" s="13" t="s">
        <v>188</v>
      </c>
    </row>
    <row r="58" spans="1:10" ht="12.5" x14ac:dyDescent="0.25">
      <c r="A58" s="12" t="s">
        <v>189</v>
      </c>
      <c r="B58" s="12">
        <v>16</v>
      </c>
      <c r="C58" s="12" t="s">
        <v>51</v>
      </c>
      <c r="D58" s="13" t="s">
        <v>190</v>
      </c>
      <c r="E58" s="12" t="s">
        <v>22</v>
      </c>
      <c r="F58" s="12">
        <v>1</v>
      </c>
      <c r="G58" s="14" t="s">
        <v>133</v>
      </c>
      <c r="H58" s="15">
        <v>255000</v>
      </c>
      <c r="I58" s="15">
        <f t="shared" si="0"/>
        <v>255000</v>
      </c>
      <c r="J58" s="13" t="s">
        <v>140</v>
      </c>
    </row>
    <row r="59" spans="1:10" ht="12.5" x14ac:dyDescent="0.25">
      <c r="A59" s="12" t="s">
        <v>191</v>
      </c>
      <c r="B59" s="12">
        <v>18</v>
      </c>
      <c r="C59" s="12" t="s">
        <v>51</v>
      </c>
      <c r="D59" s="13" t="s">
        <v>192</v>
      </c>
      <c r="E59" s="12" t="s">
        <v>22</v>
      </c>
      <c r="F59" s="12">
        <v>1</v>
      </c>
      <c r="G59" s="14" t="s">
        <v>133</v>
      </c>
      <c r="H59" s="15">
        <v>90000</v>
      </c>
      <c r="I59" s="15">
        <f t="shared" si="0"/>
        <v>90000</v>
      </c>
      <c r="J59" s="13" t="s">
        <v>193</v>
      </c>
    </row>
    <row r="60" spans="1:10" ht="12.5" x14ac:dyDescent="0.25">
      <c r="A60" s="12" t="s">
        <v>194</v>
      </c>
      <c r="B60" s="12">
        <v>19</v>
      </c>
      <c r="C60" s="12" t="s">
        <v>51</v>
      </c>
      <c r="D60" s="13" t="s">
        <v>195</v>
      </c>
      <c r="E60" s="12" t="s">
        <v>22</v>
      </c>
      <c r="F60" s="12">
        <v>1</v>
      </c>
      <c r="G60" s="14" t="s">
        <v>133</v>
      </c>
      <c r="H60" s="15">
        <v>185000</v>
      </c>
      <c r="I60" s="15">
        <f t="shared" si="0"/>
        <v>185000</v>
      </c>
      <c r="J60" s="13" t="s">
        <v>196</v>
      </c>
    </row>
    <row r="61" spans="1:10" ht="12.5" x14ac:dyDescent="0.25">
      <c r="A61" s="12" t="s">
        <v>197</v>
      </c>
      <c r="B61" s="12">
        <v>20</v>
      </c>
      <c r="C61" s="12" t="s">
        <v>51</v>
      </c>
      <c r="D61" s="13" t="s">
        <v>176</v>
      </c>
      <c r="E61" s="12" t="s">
        <v>22</v>
      </c>
      <c r="F61" s="12">
        <v>1</v>
      </c>
      <c r="G61" s="14" t="s">
        <v>133</v>
      </c>
      <c r="H61" s="15">
        <v>120000</v>
      </c>
      <c r="I61" s="15">
        <f t="shared" si="0"/>
        <v>120000</v>
      </c>
      <c r="J61" s="13" t="s">
        <v>198</v>
      </c>
    </row>
    <row r="62" spans="1:10" ht="12.5" x14ac:dyDescent="0.25">
      <c r="A62" s="12" t="s">
        <v>199</v>
      </c>
      <c r="B62" s="12">
        <v>20</v>
      </c>
      <c r="C62" s="12" t="s">
        <v>83</v>
      </c>
      <c r="D62" s="13" t="s">
        <v>200</v>
      </c>
      <c r="E62" s="12" t="s">
        <v>22</v>
      </c>
      <c r="F62" s="12">
        <v>1</v>
      </c>
      <c r="G62" s="14" t="s">
        <v>133</v>
      </c>
      <c r="H62" s="15">
        <v>35000</v>
      </c>
      <c r="I62" s="15">
        <f t="shared" si="0"/>
        <v>35000</v>
      </c>
      <c r="J62" s="13" t="s">
        <v>201</v>
      </c>
    </row>
    <row r="63" spans="1:10" ht="12.5" x14ac:dyDescent="0.25">
      <c r="A63" s="12" t="s">
        <v>202</v>
      </c>
      <c r="B63" s="12">
        <v>21</v>
      </c>
      <c r="C63" s="12" t="s">
        <v>51</v>
      </c>
      <c r="D63" s="13" t="s">
        <v>203</v>
      </c>
      <c r="E63" s="12" t="s">
        <v>22</v>
      </c>
      <c r="F63" s="12">
        <v>1</v>
      </c>
      <c r="G63" s="14" t="s">
        <v>133</v>
      </c>
      <c r="H63" s="15">
        <v>45000</v>
      </c>
      <c r="I63" s="15">
        <f t="shared" si="0"/>
        <v>45000</v>
      </c>
      <c r="J63" s="13" t="s">
        <v>204</v>
      </c>
    </row>
    <row r="64" spans="1:10" ht="12.5" x14ac:dyDescent="0.25">
      <c r="A64" s="12" t="s">
        <v>205</v>
      </c>
      <c r="B64" s="12">
        <v>22</v>
      </c>
      <c r="C64" s="12" t="s">
        <v>51</v>
      </c>
      <c r="D64" s="13" t="s">
        <v>203</v>
      </c>
      <c r="E64" s="12" t="s">
        <v>22</v>
      </c>
      <c r="F64" s="12">
        <v>1</v>
      </c>
      <c r="G64" s="14" t="s">
        <v>133</v>
      </c>
      <c r="H64" s="15">
        <v>30000</v>
      </c>
      <c r="I64" s="15">
        <f t="shared" si="0"/>
        <v>30000</v>
      </c>
      <c r="J64" s="13" t="s">
        <v>206</v>
      </c>
    </row>
    <row r="65" spans="1:10" ht="12.5" x14ac:dyDescent="0.25">
      <c r="A65" s="12" t="s">
        <v>207</v>
      </c>
      <c r="B65" s="12">
        <v>24</v>
      </c>
      <c r="C65" s="12" t="s">
        <v>51</v>
      </c>
      <c r="D65" s="13" t="s">
        <v>208</v>
      </c>
      <c r="E65" s="12" t="s">
        <v>22</v>
      </c>
      <c r="F65" s="12">
        <v>1</v>
      </c>
      <c r="G65" s="14" t="s">
        <v>133</v>
      </c>
      <c r="H65" s="15">
        <v>140000</v>
      </c>
      <c r="I65" s="15">
        <f t="shared" si="0"/>
        <v>140000</v>
      </c>
      <c r="J65" s="13" t="s">
        <v>209</v>
      </c>
    </row>
    <row r="66" spans="1:10" ht="12.5" x14ac:dyDescent="0.25">
      <c r="A66" s="12" t="s">
        <v>210</v>
      </c>
      <c r="B66" s="12">
        <v>24</v>
      </c>
      <c r="C66" s="12" t="s">
        <v>51</v>
      </c>
      <c r="D66" s="13" t="s">
        <v>211</v>
      </c>
      <c r="E66" s="12" t="s">
        <v>22</v>
      </c>
      <c r="F66" s="12">
        <v>1</v>
      </c>
      <c r="G66" s="14" t="s">
        <v>133</v>
      </c>
      <c r="H66" s="15">
        <v>230000</v>
      </c>
      <c r="I66" s="15">
        <f t="shared" si="0"/>
        <v>230000</v>
      </c>
      <c r="J66" s="13" t="s">
        <v>212</v>
      </c>
    </row>
    <row r="67" spans="1:10" ht="12.5" x14ac:dyDescent="0.25">
      <c r="A67" s="12" t="s">
        <v>213</v>
      </c>
      <c r="B67" s="12">
        <v>25</v>
      </c>
      <c r="C67" s="12" t="s">
        <v>51</v>
      </c>
      <c r="D67" s="13" t="s">
        <v>214</v>
      </c>
      <c r="E67" s="12" t="s">
        <v>22</v>
      </c>
      <c r="F67" s="12">
        <v>1</v>
      </c>
      <c r="G67" s="14" t="s">
        <v>133</v>
      </c>
      <c r="H67" s="15">
        <v>245000</v>
      </c>
      <c r="I67" s="15">
        <f t="shared" si="0"/>
        <v>245000</v>
      </c>
      <c r="J67" s="13" t="s">
        <v>215</v>
      </c>
    </row>
    <row r="68" spans="1:10" ht="12.5" x14ac:dyDescent="0.25">
      <c r="A68" s="12" t="s">
        <v>216</v>
      </c>
      <c r="B68" s="12">
        <v>25</v>
      </c>
      <c r="C68" s="12" t="s">
        <v>51</v>
      </c>
      <c r="D68" s="13" t="s">
        <v>217</v>
      </c>
      <c r="E68" s="12" t="s">
        <v>22</v>
      </c>
      <c r="F68" s="12">
        <v>1</v>
      </c>
      <c r="G68" s="14" t="s">
        <v>133</v>
      </c>
      <c r="H68" s="15">
        <v>180000</v>
      </c>
      <c r="I68" s="15">
        <f t="shared" si="0"/>
        <v>180000</v>
      </c>
      <c r="J68" s="13" t="s">
        <v>134</v>
      </c>
    </row>
    <row r="69" spans="1:10" ht="12.5" x14ac:dyDescent="0.25">
      <c r="A69" s="12" t="s">
        <v>218</v>
      </c>
      <c r="B69" s="12">
        <v>25</v>
      </c>
      <c r="C69" s="12" t="s">
        <v>51</v>
      </c>
      <c r="D69" s="13" t="s">
        <v>219</v>
      </c>
      <c r="E69" s="12" t="s">
        <v>22</v>
      </c>
      <c r="F69" s="12">
        <v>1</v>
      </c>
      <c r="G69" s="14" t="s">
        <v>133</v>
      </c>
      <c r="H69" s="15">
        <v>60000</v>
      </c>
      <c r="I69" s="15">
        <f t="shared" si="0"/>
        <v>60000</v>
      </c>
      <c r="J69" s="13" t="s">
        <v>220</v>
      </c>
    </row>
    <row r="70" spans="1:10" ht="12.5" x14ac:dyDescent="0.25">
      <c r="A70" s="12" t="s">
        <v>221</v>
      </c>
      <c r="B70" s="12">
        <v>25</v>
      </c>
      <c r="C70" s="12" t="s">
        <v>51</v>
      </c>
      <c r="D70" s="13" t="s">
        <v>222</v>
      </c>
      <c r="E70" s="12" t="s">
        <v>22</v>
      </c>
      <c r="F70" s="12">
        <v>1</v>
      </c>
      <c r="G70" s="14" t="s">
        <v>133</v>
      </c>
      <c r="H70" s="15">
        <v>330000</v>
      </c>
      <c r="I70" s="15">
        <f t="shared" si="0"/>
        <v>330000</v>
      </c>
      <c r="J70" s="13" t="s">
        <v>223</v>
      </c>
    </row>
    <row r="71" spans="1:10" ht="12.5" x14ac:dyDescent="0.25">
      <c r="A71" s="12" t="s">
        <v>224</v>
      </c>
      <c r="B71" s="12">
        <v>25</v>
      </c>
      <c r="C71" s="12" t="s">
        <v>51</v>
      </c>
      <c r="D71" s="13" t="s">
        <v>167</v>
      </c>
      <c r="E71" s="12" t="s">
        <v>22</v>
      </c>
      <c r="F71" s="12">
        <v>1</v>
      </c>
      <c r="G71" s="14" t="s">
        <v>133</v>
      </c>
      <c r="H71" s="15">
        <v>180000</v>
      </c>
      <c r="I71" s="15">
        <f t="shared" si="0"/>
        <v>180000</v>
      </c>
      <c r="J71" s="13" t="s">
        <v>225</v>
      </c>
    </row>
    <row r="72" spans="1:10" ht="12.5" x14ac:dyDescent="0.25">
      <c r="A72" s="12" t="s">
        <v>226</v>
      </c>
      <c r="B72" s="12">
        <v>25</v>
      </c>
      <c r="C72" s="12" t="s">
        <v>51</v>
      </c>
      <c r="D72" s="13" t="s">
        <v>227</v>
      </c>
      <c r="E72" s="12" t="s">
        <v>22</v>
      </c>
      <c r="F72" s="12">
        <v>1</v>
      </c>
      <c r="G72" s="14" t="s">
        <v>133</v>
      </c>
      <c r="H72" s="15">
        <v>170000</v>
      </c>
      <c r="I72" s="15">
        <f t="shared" si="0"/>
        <v>170000</v>
      </c>
      <c r="J72" s="13" t="s">
        <v>228</v>
      </c>
    </row>
    <row r="73" spans="1:10" ht="12.5" x14ac:dyDescent="0.25">
      <c r="A73" s="12" t="s">
        <v>229</v>
      </c>
      <c r="B73" s="12">
        <v>26</v>
      </c>
      <c r="C73" s="12" t="s">
        <v>83</v>
      </c>
      <c r="D73" s="13" t="s">
        <v>230</v>
      </c>
      <c r="E73" s="12" t="s">
        <v>22</v>
      </c>
      <c r="F73" s="12">
        <v>1</v>
      </c>
      <c r="G73" s="14" t="s">
        <v>133</v>
      </c>
      <c r="H73" s="15">
        <v>50000</v>
      </c>
      <c r="I73" s="15">
        <f t="shared" si="0"/>
        <v>50000</v>
      </c>
      <c r="J73" s="13" t="s">
        <v>231</v>
      </c>
    </row>
    <row r="74" spans="1:10" ht="12.5" x14ac:dyDescent="0.25">
      <c r="A74" s="12" t="s">
        <v>232</v>
      </c>
      <c r="B74" s="12">
        <v>27</v>
      </c>
      <c r="C74" s="12" t="s">
        <v>51</v>
      </c>
      <c r="D74" s="13" t="s">
        <v>233</v>
      </c>
      <c r="E74" s="12" t="s">
        <v>22</v>
      </c>
      <c r="F74" s="12">
        <v>1</v>
      </c>
      <c r="G74" s="14" t="s">
        <v>133</v>
      </c>
      <c r="H74" s="15">
        <v>120000</v>
      </c>
      <c r="I74" s="15">
        <f t="shared" si="0"/>
        <v>120000</v>
      </c>
      <c r="J74" s="13" t="s">
        <v>234</v>
      </c>
    </row>
    <row r="75" spans="1:10" ht="12.5" x14ac:dyDescent="0.25">
      <c r="A75" s="12" t="s">
        <v>235</v>
      </c>
      <c r="B75" s="12">
        <v>28</v>
      </c>
      <c r="C75" s="12" t="s">
        <v>73</v>
      </c>
      <c r="D75" s="13" t="s">
        <v>236</v>
      </c>
      <c r="E75" s="12" t="s">
        <v>22</v>
      </c>
      <c r="F75" s="12">
        <v>1</v>
      </c>
      <c r="G75" s="14" t="s">
        <v>133</v>
      </c>
      <c r="H75" s="15">
        <v>80000</v>
      </c>
      <c r="I75" s="15">
        <f t="shared" si="0"/>
        <v>80000</v>
      </c>
      <c r="J75" s="13" t="s">
        <v>237</v>
      </c>
    </row>
    <row r="76" spans="1:10" ht="12.5" x14ac:dyDescent="0.25">
      <c r="A76" s="12" t="s">
        <v>238</v>
      </c>
      <c r="B76" s="12">
        <v>30</v>
      </c>
      <c r="C76" s="12" t="s">
        <v>51</v>
      </c>
      <c r="D76" s="13" t="s">
        <v>239</v>
      </c>
      <c r="E76" s="12" t="s">
        <v>22</v>
      </c>
      <c r="F76" s="12">
        <v>1</v>
      </c>
      <c r="G76" s="14" t="s">
        <v>133</v>
      </c>
      <c r="H76" s="15">
        <v>115000</v>
      </c>
      <c r="I76" s="15">
        <f t="shared" si="0"/>
        <v>115000</v>
      </c>
      <c r="J76" s="13" t="s">
        <v>240</v>
      </c>
    </row>
    <row r="77" spans="1:10" ht="12.5" x14ac:dyDescent="0.25">
      <c r="A77" s="12" t="s">
        <v>241</v>
      </c>
      <c r="B77" s="12">
        <v>30</v>
      </c>
      <c r="C77" s="12" t="s">
        <v>51</v>
      </c>
      <c r="D77" s="13" t="s">
        <v>242</v>
      </c>
      <c r="E77" s="12" t="s">
        <v>22</v>
      </c>
      <c r="F77" s="12">
        <v>1</v>
      </c>
      <c r="G77" s="14" t="s">
        <v>133</v>
      </c>
      <c r="H77" s="15">
        <v>35000</v>
      </c>
      <c r="I77" s="15">
        <f t="shared" si="0"/>
        <v>35000</v>
      </c>
      <c r="J77" s="13" t="s">
        <v>243</v>
      </c>
    </row>
    <row r="78" spans="1:10" ht="12.5" x14ac:dyDescent="0.25">
      <c r="A78" s="12" t="s">
        <v>244</v>
      </c>
      <c r="B78" s="12">
        <v>4</v>
      </c>
      <c r="C78" s="12" t="s">
        <v>51</v>
      </c>
      <c r="D78" s="13" t="s">
        <v>245</v>
      </c>
      <c r="E78" s="12" t="s">
        <v>22</v>
      </c>
      <c r="F78" s="12">
        <v>1</v>
      </c>
      <c r="G78" s="14" t="s">
        <v>133</v>
      </c>
      <c r="H78" s="15">
        <v>765000</v>
      </c>
      <c r="I78" s="15">
        <f t="shared" si="0"/>
        <v>765000</v>
      </c>
      <c r="J78" s="13" t="s">
        <v>246</v>
      </c>
    </row>
    <row r="79" spans="1:10" ht="12.5" x14ac:dyDescent="0.25">
      <c r="A79" s="12" t="s">
        <v>247</v>
      </c>
      <c r="B79" s="12">
        <v>2</v>
      </c>
      <c r="C79" s="12" t="s">
        <v>51</v>
      </c>
      <c r="D79" s="13" t="s">
        <v>248</v>
      </c>
      <c r="E79" s="12" t="s">
        <v>22</v>
      </c>
      <c r="F79" s="12">
        <v>1</v>
      </c>
      <c r="G79" s="14" t="s">
        <v>133</v>
      </c>
      <c r="H79" s="15">
        <v>522000</v>
      </c>
      <c r="I79" s="15">
        <f t="shared" si="0"/>
        <v>522000</v>
      </c>
      <c r="J79" s="13" t="s">
        <v>249</v>
      </c>
    </row>
    <row r="80" spans="1:10" ht="12.5" x14ac:dyDescent="0.25">
      <c r="A80" s="12" t="s">
        <v>250</v>
      </c>
      <c r="B80" s="12">
        <v>25</v>
      </c>
      <c r="C80" s="12" t="s">
        <v>73</v>
      </c>
      <c r="D80" s="13" t="s">
        <v>251</v>
      </c>
      <c r="E80" s="12" t="s">
        <v>22</v>
      </c>
      <c r="F80" s="12">
        <v>1</v>
      </c>
      <c r="G80" s="14" t="s">
        <v>133</v>
      </c>
      <c r="H80" s="15">
        <v>125000</v>
      </c>
      <c r="I80" s="15">
        <f t="shared" si="0"/>
        <v>125000</v>
      </c>
      <c r="J80" s="13" t="s">
        <v>252</v>
      </c>
    </row>
    <row r="81" spans="1:10" ht="12.5" x14ac:dyDescent="0.25">
      <c r="A81" s="12" t="s">
        <v>253</v>
      </c>
      <c r="B81" s="12">
        <v>1</v>
      </c>
      <c r="C81" s="12" t="s">
        <v>51</v>
      </c>
      <c r="D81" s="13" t="s">
        <v>254</v>
      </c>
      <c r="E81" s="12" t="s">
        <v>22</v>
      </c>
      <c r="F81" s="12">
        <v>1</v>
      </c>
      <c r="G81" s="14" t="s">
        <v>133</v>
      </c>
      <c r="H81" s="15">
        <v>915000</v>
      </c>
      <c r="I81" s="15">
        <f t="shared" si="0"/>
        <v>915000</v>
      </c>
      <c r="J81" s="13" t="s">
        <v>255</v>
      </c>
    </row>
    <row r="82" spans="1:10" ht="12.5" x14ac:dyDescent="0.25">
      <c r="A82" s="12" t="s">
        <v>256</v>
      </c>
      <c r="B82" s="12">
        <v>27</v>
      </c>
      <c r="C82" s="12" t="s">
        <v>51</v>
      </c>
      <c r="D82" s="13" t="s">
        <v>257</v>
      </c>
      <c r="E82" s="12" t="s">
        <v>22</v>
      </c>
      <c r="F82" s="12">
        <v>1</v>
      </c>
      <c r="G82" s="14" t="s">
        <v>133</v>
      </c>
      <c r="H82" s="15">
        <v>1370000</v>
      </c>
      <c r="I82" s="15">
        <f t="shared" si="0"/>
        <v>1370000</v>
      </c>
      <c r="J82" s="13" t="s">
        <v>257</v>
      </c>
    </row>
    <row r="83" spans="1:10" ht="12.5" x14ac:dyDescent="0.25">
      <c r="A83" s="12" t="s">
        <v>258</v>
      </c>
      <c r="B83" s="12">
        <v>28</v>
      </c>
      <c r="C83" s="12" t="s">
        <v>10</v>
      </c>
      <c r="D83" s="13" t="s">
        <v>259</v>
      </c>
      <c r="E83" s="12" t="s">
        <v>22</v>
      </c>
      <c r="F83" s="12">
        <v>1</v>
      </c>
      <c r="G83" s="14" t="s">
        <v>133</v>
      </c>
      <c r="H83" s="15">
        <v>200000</v>
      </c>
      <c r="I83" s="15">
        <f t="shared" si="0"/>
        <v>200000</v>
      </c>
      <c r="J83" s="13" t="s">
        <v>260</v>
      </c>
    </row>
    <row r="84" spans="1:10" ht="12.5" x14ac:dyDescent="0.25">
      <c r="A84" s="12" t="s">
        <v>261</v>
      </c>
      <c r="B84" s="12">
        <v>28</v>
      </c>
      <c r="C84" s="12" t="s">
        <v>262</v>
      </c>
      <c r="D84" s="13" t="s">
        <v>263</v>
      </c>
      <c r="E84" s="12" t="s">
        <v>22</v>
      </c>
      <c r="F84" s="12">
        <v>1</v>
      </c>
      <c r="G84" s="14" t="s">
        <v>133</v>
      </c>
      <c r="H84" s="15">
        <v>50000</v>
      </c>
      <c r="I84" s="15">
        <f t="shared" si="0"/>
        <v>50000</v>
      </c>
      <c r="J84" s="13" t="s">
        <v>264</v>
      </c>
    </row>
    <row r="85" spans="1:10" ht="12.5" x14ac:dyDescent="0.25">
      <c r="A85" s="12" t="s">
        <v>265</v>
      </c>
      <c r="B85" s="12"/>
      <c r="C85" s="12"/>
      <c r="D85" s="13"/>
      <c r="E85" s="12"/>
      <c r="F85" s="12"/>
      <c r="G85" s="14"/>
      <c r="H85" s="15"/>
      <c r="I85" s="15">
        <f t="shared" si="0"/>
        <v>0</v>
      </c>
      <c r="J85" s="13"/>
    </row>
    <row r="86" spans="1:10" ht="12.5" x14ac:dyDescent="0.25">
      <c r="A86" s="12" t="s">
        <v>266</v>
      </c>
      <c r="B86" s="12"/>
      <c r="C86" s="12"/>
      <c r="D86" s="13"/>
      <c r="E86" s="12"/>
      <c r="F86" s="12"/>
      <c r="G86" s="14"/>
      <c r="H86" s="15"/>
      <c r="I86" s="15">
        <f t="shared" si="0"/>
        <v>0</v>
      </c>
      <c r="J86" s="13"/>
    </row>
    <row r="87" spans="1:10" ht="12.5" x14ac:dyDescent="0.25">
      <c r="A87" s="12" t="s">
        <v>267</v>
      </c>
      <c r="B87" s="12"/>
      <c r="C87" s="12"/>
      <c r="D87" s="13"/>
      <c r="E87" s="12"/>
      <c r="F87" s="12"/>
      <c r="G87" s="14"/>
      <c r="H87" s="15"/>
      <c r="I87" s="15">
        <f t="shared" si="0"/>
        <v>0</v>
      </c>
      <c r="J87" s="13"/>
    </row>
    <row r="88" spans="1:10" ht="12.5" x14ac:dyDescent="0.25">
      <c r="A88" s="12" t="s">
        <v>268</v>
      </c>
      <c r="B88" s="12"/>
      <c r="C88" s="12"/>
      <c r="D88" s="13"/>
      <c r="E88" s="12"/>
      <c r="F88" s="12"/>
      <c r="G88" s="14"/>
      <c r="H88" s="15"/>
      <c r="I88" s="15">
        <f t="shared" si="0"/>
        <v>0</v>
      </c>
      <c r="J88" s="13"/>
    </row>
    <row r="89" spans="1:10" ht="12.5" x14ac:dyDescent="0.25">
      <c r="A89" s="12" t="s">
        <v>270</v>
      </c>
      <c r="B89" s="12"/>
      <c r="C89" s="12"/>
      <c r="D89" s="13"/>
      <c r="E89" s="12"/>
      <c r="F89" s="12"/>
      <c r="G89" s="14"/>
      <c r="H89" s="15"/>
      <c r="I89" s="15">
        <f t="shared" si="0"/>
        <v>0</v>
      </c>
      <c r="J89" s="13"/>
    </row>
    <row r="90" spans="1:10" ht="12.5" x14ac:dyDescent="0.25">
      <c r="A90" s="12" t="s">
        <v>271</v>
      </c>
      <c r="B90" s="12"/>
      <c r="C90" s="12"/>
      <c r="D90" s="13"/>
      <c r="E90" s="12"/>
      <c r="F90" s="12"/>
      <c r="G90" s="14"/>
      <c r="H90" s="15"/>
      <c r="I90" s="15">
        <f t="shared" si="0"/>
        <v>0</v>
      </c>
      <c r="J90" s="13"/>
    </row>
    <row r="91" spans="1:10" ht="12.5" x14ac:dyDescent="0.25">
      <c r="A91" s="12" t="s">
        <v>272</v>
      </c>
      <c r="B91" s="12"/>
      <c r="C91" s="12"/>
      <c r="D91" s="13"/>
      <c r="E91" s="12"/>
      <c r="F91" s="12"/>
      <c r="G91" s="14"/>
      <c r="H91" s="15"/>
      <c r="I91" s="15">
        <f t="shared" si="0"/>
        <v>0</v>
      </c>
      <c r="J91" s="13"/>
    </row>
    <row r="92" spans="1:10" ht="12.5" x14ac:dyDescent="0.25">
      <c r="A92" s="12" t="s">
        <v>273</v>
      </c>
      <c r="B92" s="12"/>
      <c r="C92" s="12"/>
      <c r="D92" s="13"/>
      <c r="E92" s="12"/>
      <c r="F92" s="12"/>
      <c r="G92" s="14"/>
      <c r="H92" s="15"/>
      <c r="I92" s="15">
        <f t="shared" si="0"/>
        <v>0</v>
      </c>
      <c r="J92" s="13"/>
    </row>
    <row r="93" spans="1:10" ht="12.5" x14ac:dyDescent="0.25">
      <c r="A93" s="12" t="s">
        <v>274</v>
      </c>
      <c r="B93" s="12"/>
      <c r="C93" s="12"/>
      <c r="D93" s="13"/>
      <c r="E93" s="12"/>
      <c r="F93" s="12"/>
      <c r="G93" s="14"/>
      <c r="H93" s="15"/>
      <c r="I93" s="15">
        <f t="shared" si="0"/>
        <v>0</v>
      </c>
      <c r="J93" s="13"/>
    </row>
    <row r="94" spans="1:10" ht="12.5" x14ac:dyDescent="0.25">
      <c r="A94" s="12" t="s">
        <v>275</v>
      </c>
      <c r="B94" s="12"/>
      <c r="C94" s="12"/>
      <c r="D94" s="13"/>
      <c r="E94" s="12"/>
      <c r="F94" s="12"/>
      <c r="G94" s="14"/>
      <c r="H94" s="15"/>
      <c r="I94" s="15">
        <f t="shared" si="0"/>
        <v>0</v>
      </c>
      <c r="J94" s="13"/>
    </row>
    <row r="95" spans="1:10" ht="12.5" x14ac:dyDescent="0.25">
      <c r="A95" s="12" t="s">
        <v>276</v>
      </c>
      <c r="B95" s="12"/>
      <c r="C95" s="12"/>
      <c r="D95" s="13"/>
      <c r="E95" s="12"/>
      <c r="F95" s="12"/>
      <c r="G95" s="14"/>
      <c r="H95" s="15"/>
      <c r="I95" s="15">
        <f t="shared" si="0"/>
        <v>0</v>
      </c>
      <c r="J95" s="13"/>
    </row>
    <row r="96" spans="1:10" ht="12.5" x14ac:dyDescent="0.25">
      <c r="A96" s="12" t="s">
        <v>277</v>
      </c>
      <c r="B96" s="12"/>
      <c r="C96" s="12"/>
      <c r="D96" s="13"/>
      <c r="E96" s="12"/>
      <c r="F96" s="12"/>
      <c r="G96" s="14"/>
      <c r="H96" s="15"/>
      <c r="I96" s="15">
        <f t="shared" si="0"/>
        <v>0</v>
      </c>
      <c r="J96" s="13"/>
    </row>
    <row r="97" spans="1:10" ht="12.5" x14ac:dyDescent="0.25">
      <c r="A97" s="12" t="s">
        <v>278</v>
      </c>
      <c r="B97" s="12"/>
      <c r="C97" s="12"/>
      <c r="D97" s="13"/>
      <c r="E97" s="12"/>
      <c r="F97" s="12"/>
      <c r="G97" s="14"/>
      <c r="H97" s="15"/>
      <c r="I97" s="15">
        <f t="shared" si="0"/>
        <v>0</v>
      </c>
      <c r="J97" s="13"/>
    </row>
    <row r="98" spans="1:10" ht="12.5" x14ac:dyDescent="0.25">
      <c r="A98" s="12" t="s">
        <v>279</v>
      </c>
      <c r="B98" s="12"/>
      <c r="C98" s="12"/>
      <c r="D98" s="13"/>
      <c r="E98" s="12"/>
      <c r="F98" s="12"/>
      <c r="G98" s="14"/>
      <c r="H98" s="15"/>
      <c r="I98" s="15">
        <f t="shared" si="0"/>
        <v>0</v>
      </c>
      <c r="J98" s="14"/>
    </row>
    <row r="99" spans="1:10" ht="12.5" x14ac:dyDescent="0.25">
      <c r="A99" s="12" t="s">
        <v>280</v>
      </c>
      <c r="B99" s="12"/>
      <c r="C99" s="12"/>
      <c r="D99" s="13"/>
      <c r="E99" s="12"/>
      <c r="F99" s="12"/>
      <c r="G99" s="14"/>
      <c r="H99" s="15"/>
      <c r="I99" s="15">
        <f t="shared" si="0"/>
        <v>0</v>
      </c>
      <c r="J99" s="13"/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>
        <f t="shared" si="0"/>
        <v>0</v>
      </c>
      <c r="J100" s="13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>
        <f t="shared" si="0"/>
        <v>0</v>
      </c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>
        <f t="shared" si="0"/>
        <v>0</v>
      </c>
      <c r="J102" s="13"/>
    </row>
    <row r="103" spans="1:10" ht="12.5" x14ac:dyDescent="0.25">
      <c r="A103" s="12" t="s">
        <v>284</v>
      </c>
      <c r="B103" s="12"/>
      <c r="C103" s="12"/>
      <c r="D103" s="13"/>
      <c r="E103" s="12"/>
      <c r="F103" s="12"/>
      <c r="G103" s="14"/>
      <c r="H103" s="15"/>
      <c r="I103" s="15">
        <f t="shared" si="0"/>
        <v>0</v>
      </c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>
        <f t="shared" si="0"/>
        <v>0</v>
      </c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0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0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0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0"/>
        <v>0</v>
      </c>
      <c r="J108" s="13"/>
    </row>
    <row r="109" spans="1:10" ht="12.5" x14ac:dyDescent="0.25">
      <c r="A109" s="12" t="s">
        <v>291</v>
      </c>
      <c r="B109" s="12"/>
      <c r="C109" s="12"/>
      <c r="D109" s="13"/>
      <c r="E109" s="12"/>
      <c r="F109" s="12"/>
      <c r="G109" s="14"/>
      <c r="H109" s="15"/>
      <c r="I109" s="15">
        <f t="shared" si="0"/>
        <v>0</v>
      </c>
      <c r="J109" s="13"/>
    </row>
    <row r="110" spans="1:10" ht="12.5" x14ac:dyDescent="0.25">
      <c r="A110" s="12" t="s">
        <v>292</v>
      </c>
      <c r="B110" s="12"/>
      <c r="C110" s="12"/>
      <c r="D110" s="13"/>
      <c r="E110" s="12"/>
      <c r="F110" s="12"/>
      <c r="G110" s="14"/>
      <c r="H110" s="15"/>
      <c r="I110" s="15">
        <f t="shared" si="0"/>
        <v>0</v>
      </c>
      <c r="J110" s="13"/>
    </row>
    <row r="111" spans="1:10" ht="12.5" x14ac:dyDescent="0.25">
      <c r="A111" s="12" t="s">
        <v>293</v>
      </c>
      <c r="B111" s="12"/>
      <c r="C111" s="12"/>
      <c r="D111" s="13"/>
      <c r="E111" s="12"/>
      <c r="F111" s="12"/>
      <c r="G111" s="14"/>
      <c r="H111" s="15"/>
      <c r="I111" s="15">
        <f t="shared" si="0"/>
        <v>0</v>
      </c>
      <c r="J111" s="13"/>
    </row>
    <row r="112" spans="1:10" ht="12.5" x14ac:dyDescent="0.25">
      <c r="A112" s="12" t="s">
        <v>294</v>
      </c>
      <c r="B112" s="12"/>
      <c r="C112" s="12"/>
      <c r="D112" s="13"/>
      <c r="E112" s="12"/>
      <c r="F112" s="12"/>
      <c r="G112" s="14"/>
      <c r="H112" s="15"/>
      <c r="I112" s="15">
        <f t="shared" si="0"/>
        <v>0</v>
      </c>
      <c r="J112" s="13"/>
    </row>
    <row r="113" spans="1:10" ht="12.5" x14ac:dyDescent="0.25">
      <c r="A113" s="12" t="s">
        <v>295</v>
      </c>
      <c r="B113" s="12"/>
      <c r="C113" s="12"/>
      <c r="D113" s="13"/>
      <c r="E113" s="12"/>
      <c r="F113" s="12"/>
      <c r="G113" s="14"/>
      <c r="H113" s="15"/>
      <c r="I113" s="15">
        <f t="shared" si="0"/>
        <v>0</v>
      </c>
      <c r="J113" s="13"/>
    </row>
    <row r="114" spans="1:10" ht="12.5" x14ac:dyDescent="0.25">
      <c r="A114" s="12" t="s">
        <v>296</v>
      </c>
      <c r="B114" s="12"/>
      <c r="C114" s="12"/>
      <c r="D114" s="13"/>
      <c r="E114" s="12"/>
      <c r="F114" s="12"/>
      <c r="G114" s="14"/>
      <c r="H114" s="15"/>
      <c r="I114" s="15">
        <f t="shared" si="0"/>
        <v>0</v>
      </c>
      <c r="J114" s="13"/>
    </row>
    <row r="115" spans="1:10" ht="12.5" x14ac:dyDescent="0.25">
      <c r="A115" s="12" t="s">
        <v>297</v>
      </c>
      <c r="B115" s="12"/>
      <c r="C115" s="12"/>
      <c r="D115" s="13"/>
      <c r="E115" s="12"/>
      <c r="F115" s="12"/>
      <c r="G115" s="14"/>
      <c r="H115" s="15"/>
      <c r="I115" s="15">
        <f t="shared" si="0"/>
        <v>0</v>
      </c>
      <c r="J115" s="13"/>
    </row>
    <row r="116" spans="1:10" ht="12.5" x14ac:dyDescent="0.25">
      <c r="A116" s="12" t="s">
        <v>298</v>
      </c>
      <c r="B116" s="12"/>
      <c r="C116" s="12"/>
      <c r="D116" s="13"/>
      <c r="E116" s="12"/>
      <c r="F116" s="12"/>
      <c r="G116" s="14"/>
      <c r="H116" s="15"/>
      <c r="I116" s="15">
        <f t="shared" si="0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0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2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2">
    <dataValidation type="list" allowBlank="1" showErrorMessage="1" sqref="E20:E194" xr:uid="{00000000-0002-0000-0200-000000000000}">
      <formula1>"One Time,Reccuring"</formula1>
    </dataValidation>
    <dataValidation type="list" allowBlank="1" showErrorMessage="1" sqref="P18 C20:C194" xr:uid="{00000000-0002-0000-0200-000001000000}">
      <formula1>"Stock Dagangan,Stock Bahan,Operational,Packing,Tenant,Gaji Karyawan,Team"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155CC"/>
    <outlinePr summaryBelow="0" summaryRight="0"/>
  </sheetPr>
  <dimension ref="A1:Y1009"/>
  <sheetViews>
    <sheetView tabSelected="1" zoomScale="30" workbookViewId="0">
      <selection activeCell="T7" sqref="T7"/>
    </sheetView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0" max="20" width="38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Revenue'!AL26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24755150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288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35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SUM(H:H)</f>
        <v>24755150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5753650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194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IFERROR(__xludf.DUMMYFUNCTION("filter(A20:J194,C20:C194=P18)"),"7")</f>
        <v>7</v>
      </c>
      <c r="O20" s="7">
        <f ca="1">IFERROR(__xludf.DUMMYFUNCTION("""COMPUTED_VALUE"""),1)</f>
        <v>1</v>
      </c>
      <c r="P20" s="7" t="str">
        <f ca="1">IFERROR(__xludf.DUMMYFUNCTION("""COMPUTED_VALUE"""),"Gaji Karyawan")</f>
        <v>Gaji Karyawan</v>
      </c>
      <c r="Q20" s="7" t="str">
        <f ca="1">IFERROR(__xludf.DUMMYFUNCTION("""COMPUTED_VALUE"""),"Gaji Store + THR")</f>
        <v>Gaji Store + THR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IFERROR(__xludf.DUMMYFUNCTION("""COMPUTED_VALUE"""),2532825)</f>
        <v>2532825</v>
      </c>
      <c r="V20" s="17">
        <f ca="1">IFERROR(__xludf.DUMMYFUNCTION("""COMPUTED_VALUE"""),2532825)</f>
        <v>2532825</v>
      </c>
      <c r="W20" s="7" t="str">
        <f ca="1">IFERROR(__xludf.DUMMYFUNCTION("""COMPUTED_VALUE"""),"Ilmi ")</f>
        <v xml:space="preserve">Ilmi 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IFERROR(__xludf.DUMMYFUNCTION("""COMPUTED_VALUE"""),"8")</f>
        <v>8</v>
      </c>
      <c r="O21" s="7">
        <f ca="1">IFERROR(__xludf.DUMMYFUNCTION("""COMPUTED_VALUE"""),1)</f>
        <v>1</v>
      </c>
      <c r="P21" s="7" t="str">
        <f ca="1">IFERROR(__xludf.DUMMYFUNCTION("""COMPUTED_VALUE"""),"Gaji Karyawan")</f>
        <v>Gaji Karyawan</v>
      </c>
      <c r="Q21" s="7" t="str">
        <f ca="1">IFERROR(__xludf.DUMMYFUNCTION("""COMPUTED_VALUE"""),"Gaji Store + THR")</f>
        <v>Gaji Store + THR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IFERROR(__xludf.DUMMYFUNCTION("""COMPUTED_VALUE"""),2625825)</f>
        <v>2625825</v>
      </c>
      <c r="V21" s="17">
        <f ca="1">IFERROR(__xludf.DUMMYFUNCTION("""COMPUTED_VALUE"""),2625825)</f>
        <v>2625825</v>
      </c>
      <c r="W21" s="7" t="str">
        <f ca="1">IFERROR(__xludf.DUMMYFUNCTION("""COMPUTED_VALUE"""),"Erni")</f>
        <v>Erni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IFERROR(__xludf.DUMMYFUNCTION("""COMPUTED_VALUE"""),"11")</f>
        <v>11</v>
      </c>
      <c r="O22" s="7">
        <f ca="1">IFERROR(__xludf.DUMMYFUNCTION("""COMPUTED_VALUE"""),1)</f>
        <v>1</v>
      </c>
      <c r="P22" s="7" t="str">
        <f ca="1">IFERROR(__xludf.DUMMYFUNCTION("""COMPUTED_VALUE"""),"Gaji Karyawan")</f>
        <v>Gaji Karyawan</v>
      </c>
      <c r="Q22" s="7" t="str">
        <f ca="1">IFERROR(__xludf.DUMMYFUNCTION("""COMPUTED_VALUE"""),"Gaji CFD")</f>
        <v>Gaji CFD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IFERROR(__xludf.DUMMYFUNCTION("""COMPUTED_VALUE"""),"bulan ")</f>
        <v xml:space="preserve">bulan </v>
      </c>
      <c r="U22" s="17">
        <f ca="1">IFERROR(__xludf.DUMMYFUNCTION("""COMPUTED_VALUE"""),195000)</f>
        <v>195000</v>
      </c>
      <c r="V22" s="17">
        <f ca="1">IFERROR(__xludf.DUMMYFUNCTION("""COMPUTED_VALUE"""),195000)</f>
        <v>195000</v>
      </c>
      <c r="W22" s="7" t="str">
        <f ca="1">IFERROR(__xludf.DUMMYFUNCTION("""COMPUTED_VALUE"""),"Gaji CFD")</f>
        <v>Gaji CFD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 t="str">
        <f ca="1">IFERROR(__xludf.DUMMYFUNCTION("""COMPUTED_VALUE"""),"15")</f>
        <v>15</v>
      </c>
      <c r="O23" s="7">
        <f ca="1">IFERROR(__xludf.DUMMYFUNCTION("""COMPUTED_VALUE"""),1)</f>
        <v>1</v>
      </c>
      <c r="P23" s="7" t="str">
        <f ca="1">IFERROR(__xludf.DUMMYFUNCTION("""COMPUTED_VALUE"""),"Gaji Karyawan")</f>
        <v>Gaji Karyawan</v>
      </c>
      <c r="Q23" s="7" t="str">
        <f ca="1">IFERROR(__xludf.DUMMYFUNCTION("""COMPUTED_VALUE"""),"Gaji Tenten Salsa ")</f>
        <v xml:space="preserve">Gaji Tenten Salsa </v>
      </c>
      <c r="R23" s="7" t="str">
        <f ca="1">IFERROR(__xludf.DUMMYFUNCTION("""COMPUTED_VALUE"""),"One Time")</f>
        <v>One Time</v>
      </c>
      <c r="S23" s="7">
        <f ca="1">IFERROR(__xludf.DUMMYFUNCTION("""COMPUTED_VALUE"""),1)</f>
        <v>1</v>
      </c>
      <c r="T23" s="16" t="str">
        <f ca="1">IFERROR(__xludf.DUMMYFUNCTION("""COMPUTED_VALUE"""),"3 hari")</f>
        <v>3 hari</v>
      </c>
      <c r="U23" s="17">
        <f ca="1">IFERROR(__xludf.DUMMYFUNCTION("""COMPUTED_VALUE"""),400000)</f>
        <v>400000</v>
      </c>
      <c r="V23" s="17">
        <f ca="1">IFERROR(__xludf.DUMMYFUNCTION("""COMPUTED_VALUE"""),400000)</f>
        <v>400000</v>
      </c>
      <c r="W23" s="7" t="str">
        <f ca="1">IFERROR(__xludf.DUMMYFUNCTION("""COMPUTED_VALUE"""),"toko 100 + tenten 300")</f>
        <v>toko 100 + tenten 300</v>
      </c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U24" s="18"/>
      <c r="V24" s="18"/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U25" s="18"/>
      <c r="V25" s="18"/>
    </row>
    <row r="26" spans="1:25" ht="12.5" x14ac:dyDescent="0.25">
      <c r="A26" s="12" t="s">
        <v>119</v>
      </c>
      <c r="B26" s="12">
        <v>1</v>
      </c>
      <c r="C26" s="12" t="s">
        <v>35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2532825</v>
      </c>
      <c r="I26" s="15">
        <f t="shared" si="0"/>
        <v>2532825</v>
      </c>
      <c r="J26" s="13" t="s">
        <v>37</v>
      </c>
      <c r="U26" s="18"/>
      <c r="V26" s="18"/>
    </row>
    <row r="27" spans="1:25" ht="12.5" x14ac:dyDescent="0.25">
      <c r="A27" s="12" t="s">
        <v>121</v>
      </c>
      <c r="B27" s="12">
        <v>1</v>
      </c>
      <c r="C27" s="12" t="s">
        <v>35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2625825</v>
      </c>
      <c r="I27" s="15">
        <f t="shared" si="0"/>
        <v>2625825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39</v>
      </c>
      <c r="D28" s="13" t="s">
        <v>40</v>
      </c>
      <c r="E28" s="12" t="s">
        <v>22</v>
      </c>
      <c r="F28" s="12">
        <v>1</v>
      </c>
      <c r="G28" s="14" t="s">
        <v>23</v>
      </c>
      <c r="H28" s="15">
        <v>120000</v>
      </c>
      <c r="I28" s="15">
        <f t="shared" si="0"/>
        <v>120000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2</v>
      </c>
      <c r="G29" s="14" t="s">
        <v>23</v>
      </c>
      <c r="H29" s="15">
        <v>50000</v>
      </c>
      <c r="I29" s="15">
        <f t="shared" si="0"/>
        <v>100000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35</v>
      </c>
      <c r="D30" s="13" t="s">
        <v>44</v>
      </c>
      <c r="E30" s="12" t="s">
        <v>22</v>
      </c>
      <c r="F30" s="12">
        <v>1</v>
      </c>
      <c r="G30" s="14" t="s">
        <v>23</v>
      </c>
      <c r="H30" s="15">
        <v>195000</v>
      </c>
      <c r="I30" s="15">
        <f t="shared" si="0"/>
        <v>195000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1</v>
      </c>
      <c r="C33" s="12" t="s">
        <v>39</v>
      </c>
      <c r="D33" s="21" t="s">
        <v>320</v>
      </c>
      <c r="E33" s="12" t="s">
        <v>68</v>
      </c>
      <c r="F33" s="12">
        <v>1</v>
      </c>
      <c r="G33" s="14" t="s">
        <v>323</v>
      </c>
      <c r="H33" s="15">
        <v>550000</v>
      </c>
      <c r="I33" s="15">
        <f t="shared" si="0"/>
        <v>550000</v>
      </c>
      <c r="J33" s="13" t="s">
        <v>326</v>
      </c>
      <c r="U33" s="18"/>
      <c r="V33" s="18"/>
    </row>
    <row r="34" spans="1:22" ht="12.5" x14ac:dyDescent="0.25">
      <c r="A34" s="12" t="s">
        <v>128</v>
      </c>
      <c r="B34" s="12">
        <v>1</v>
      </c>
      <c r="C34" s="12" t="s">
        <v>35</v>
      </c>
      <c r="D34" s="21" t="s">
        <v>327</v>
      </c>
      <c r="E34" s="12" t="s">
        <v>68</v>
      </c>
      <c r="F34" s="12">
        <v>1</v>
      </c>
      <c r="G34" s="14" t="s">
        <v>329</v>
      </c>
      <c r="H34" s="15">
        <v>400000</v>
      </c>
      <c r="I34" s="15">
        <f t="shared" si="0"/>
        <v>400000</v>
      </c>
      <c r="J34" s="13" t="s">
        <v>330</v>
      </c>
      <c r="U34" s="18"/>
      <c r="V34" s="18"/>
    </row>
    <row r="35" spans="1:22" ht="12.5" x14ac:dyDescent="0.25">
      <c r="A35" s="12" t="s">
        <v>129</v>
      </c>
      <c r="B35" s="12">
        <v>1</v>
      </c>
      <c r="C35" s="12" t="s">
        <v>51</v>
      </c>
      <c r="D35" s="21" t="s">
        <v>333</v>
      </c>
      <c r="E35" s="12" t="s">
        <v>68</v>
      </c>
      <c r="F35" s="12">
        <v>1</v>
      </c>
      <c r="G35" s="14" t="s">
        <v>133</v>
      </c>
      <c r="H35" s="15">
        <v>45000</v>
      </c>
      <c r="I35" s="15">
        <f t="shared" si="0"/>
        <v>45000</v>
      </c>
      <c r="J35" s="13" t="s">
        <v>334</v>
      </c>
      <c r="U35" s="18"/>
      <c r="V35" s="18"/>
    </row>
    <row r="36" spans="1:22" ht="12.5" x14ac:dyDescent="0.25">
      <c r="A36" s="12" t="s">
        <v>127</v>
      </c>
      <c r="B36" s="12">
        <v>27</v>
      </c>
      <c r="C36" s="12" t="s">
        <v>51</v>
      </c>
      <c r="D36" s="20" t="s">
        <v>58</v>
      </c>
      <c r="E36" s="12" t="s">
        <v>22</v>
      </c>
      <c r="F36" s="12">
        <v>1</v>
      </c>
      <c r="G36" s="14" t="s">
        <v>23</v>
      </c>
      <c r="H36" s="15">
        <v>262000</v>
      </c>
      <c r="I36" s="15">
        <f t="shared" si="0"/>
        <v>262000</v>
      </c>
      <c r="J36" s="13" t="s">
        <v>59</v>
      </c>
    </row>
    <row r="37" spans="1:22" ht="12.5" x14ac:dyDescent="0.25">
      <c r="A37" s="12" t="s">
        <v>128</v>
      </c>
      <c r="B37" s="12">
        <v>27</v>
      </c>
      <c r="C37" s="12" t="s">
        <v>51</v>
      </c>
      <c r="D37" s="20" t="s">
        <v>60</v>
      </c>
      <c r="E37" s="12" t="s">
        <v>22</v>
      </c>
      <c r="F37" s="12">
        <v>1</v>
      </c>
      <c r="G37" s="14" t="s">
        <v>23</v>
      </c>
      <c r="H37" s="15">
        <v>0</v>
      </c>
      <c r="I37" s="15">
        <f t="shared" si="0"/>
        <v>0</v>
      </c>
      <c r="J37" s="13" t="s">
        <v>62</v>
      </c>
    </row>
    <row r="38" spans="1:22" ht="12.5" x14ac:dyDescent="0.25">
      <c r="A38" s="12" t="s">
        <v>129</v>
      </c>
      <c r="B38" s="12">
        <v>27</v>
      </c>
      <c r="C38" s="12" t="s">
        <v>51</v>
      </c>
      <c r="D38" s="20" t="s">
        <v>63</v>
      </c>
      <c r="E38" s="12" t="s">
        <v>22</v>
      </c>
      <c r="F38" s="12">
        <v>1</v>
      </c>
      <c r="G38" s="14" t="s">
        <v>23</v>
      </c>
      <c r="H38" s="15">
        <v>0</v>
      </c>
      <c r="I38" s="15">
        <f t="shared" si="0"/>
        <v>0</v>
      </c>
      <c r="J38" s="13" t="s">
        <v>64</v>
      </c>
    </row>
    <row r="39" spans="1:22" ht="12.5" x14ac:dyDescent="0.25">
      <c r="A39" s="12" t="s">
        <v>138</v>
      </c>
      <c r="B39" s="12">
        <v>1</v>
      </c>
      <c r="C39" s="12" t="s">
        <v>51</v>
      </c>
      <c r="D39" s="21" t="s">
        <v>340</v>
      </c>
      <c r="E39" s="12" t="s">
        <v>22</v>
      </c>
      <c r="F39" s="12">
        <v>1</v>
      </c>
      <c r="G39" s="14" t="s">
        <v>133</v>
      </c>
      <c r="H39" s="15">
        <v>95000</v>
      </c>
      <c r="I39" s="15">
        <f t="shared" si="0"/>
        <v>95000</v>
      </c>
      <c r="J39" s="13" t="s">
        <v>343</v>
      </c>
    </row>
    <row r="40" spans="1:22" ht="12.5" x14ac:dyDescent="0.25">
      <c r="A40" s="12" t="s">
        <v>141</v>
      </c>
      <c r="B40" s="12">
        <v>3</v>
      </c>
      <c r="C40" s="12" t="s">
        <v>51</v>
      </c>
      <c r="D40" s="21" t="s">
        <v>345</v>
      </c>
      <c r="E40" s="12" t="s">
        <v>22</v>
      </c>
      <c r="F40" s="12">
        <v>1</v>
      </c>
      <c r="G40" s="14" t="s">
        <v>133</v>
      </c>
      <c r="H40" s="15">
        <v>280000</v>
      </c>
      <c r="I40" s="15">
        <f t="shared" si="0"/>
        <v>280000</v>
      </c>
      <c r="J40" s="13" t="s">
        <v>347</v>
      </c>
    </row>
    <row r="41" spans="1:22" ht="12.5" x14ac:dyDescent="0.25">
      <c r="A41" s="12" t="s">
        <v>144</v>
      </c>
      <c r="B41" s="12">
        <v>5</v>
      </c>
      <c r="C41" s="12" t="s">
        <v>73</v>
      </c>
      <c r="D41" s="21" t="s">
        <v>350</v>
      </c>
      <c r="E41" s="12" t="s">
        <v>22</v>
      </c>
      <c r="F41" s="12">
        <v>1</v>
      </c>
      <c r="G41" s="14" t="s">
        <v>133</v>
      </c>
      <c r="H41" s="15">
        <v>54000</v>
      </c>
      <c r="I41" s="15">
        <f t="shared" si="0"/>
        <v>54000</v>
      </c>
      <c r="J41" s="13" t="s">
        <v>252</v>
      </c>
    </row>
    <row r="42" spans="1:22" ht="12.5" x14ac:dyDescent="0.25">
      <c r="A42" s="12" t="s">
        <v>147</v>
      </c>
      <c r="B42" s="12">
        <v>5</v>
      </c>
      <c r="C42" s="12" t="s">
        <v>51</v>
      </c>
      <c r="D42" s="13" t="s">
        <v>353</v>
      </c>
      <c r="E42" s="12" t="s">
        <v>22</v>
      </c>
      <c r="F42" s="12">
        <v>1</v>
      </c>
      <c r="G42" s="14" t="s">
        <v>133</v>
      </c>
      <c r="H42" s="15">
        <v>405000</v>
      </c>
      <c r="I42" s="15">
        <f t="shared" si="0"/>
        <v>405000</v>
      </c>
      <c r="J42" s="13" t="s">
        <v>354</v>
      </c>
    </row>
    <row r="43" spans="1:22" ht="12.5" x14ac:dyDescent="0.25">
      <c r="A43" s="12" t="s">
        <v>150</v>
      </c>
      <c r="B43" s="12">
        <v>1</v>
      </c>
      <c r="C43" s="12" t="s">
        <v>51</v>
      </c>
      <c r="D43" s="13" t="s">
        <v>345</v>
      </c>
      <c r="E43" s="12" t="s">
        <v>22</v>
      </c>
      <c r="F43" s="12">
        <v>1</v>
      </c>
      <c r="G43" s="14" t="s">
        <v>133</v>
      </c>
      <c r="H43" s="15">
        <v>150000</v>
      </c>
      <c r="I43" s="15">
        <f t="shared" si="0"/>
        <v>150000</v>
      </c>
      <c r="J43" s="13" t="s">
        <v>356</v>
      </c>
    </row>
    <row r="44" spans="1:22" ht="12.5" x14ac:dyDescent="0.25">
      <c r="A44" s="12" t="s">
        <v>153</v>
      </c>
      <c r="B44" s="12">
        <v>22</v>
      </c>
      <c r="C44" s="12" t="s">
        <v>73</v>
      </c>
      <c r="D44" s="13" t="s">
        <v>350</v>
      </c>
      <c r="E44" s="12" t="s">
        <v>22</v>
      </c>
      <c r="F44" s="12">
        <v>1</v>
      </c>
      <c r="G44" s="14" t="s">
        <v>133</v>
      </c>
      <c r="H44" s="15">
        <v>54000</v>
      </c>
      <c r="I44" s="15">
        <f t="shared" si="0"/>
        <v>54000</v>
      </c>
      <c r="J44" s="13" t="s">
        <v>252</v>
      </c>
    </row>
    <row r="45" spans="1:22" ht="12.5" x14ac:dyDescent="0.25">
      <c r="A45" s="12" t="s">
        <v>156</v>
      </c>
      <c r="B45" s="12">
        <v>21</v>
      </c>
      <c r="C45" s="12" t="s">
        <v>51</v>
      </c>
      <c r="D45" s="13" t="s">
        <v>345</v>
      </c>
      <c r="E45" s="12" t="s">
        <v>22</v>
      </c>
      <c r="F45" s="12">
        <v>1</v>
      </c>
      <c r="G45" s="14" t="s">
        <v>133</v>
      </c>
      <c r="H45" s="15">
        <v>280000</v>
      </c>
      <c r="I45" s="15">
        <f t="shared" si="0"/>
        <v>280000</v>
      </c>
      <c r="J45" s="13" t="s">
        <v>347</v>
      </c>
    </row>
    <row r="46" spans="1:22" ht="12.5" x14ac:dyDescent="0.25">
      <c r="A46" s="12" t="s">
        <v>158</v>
      </c>
      <c r="B46" s="12">
        <v>3</v>
      </c>
      <c r="C46" s="12" t="s">
        <v>83</v>
      </c>
      <c r="D46" s="13" t="s">
        <v>362</v>
      </c>
      <c r="E46" s="12" t="s">
        <v>22</v>
      </c>
      <c r="F46" s="12">
        <v>1</v>
      </c>
      <c r="G46" s="14" t="s">
        <v>133</v>
      </c>
      <c r="H46" s="15">
        <v>270000</v>
      </c>
      <c r="I46" s="15">
        <f t="shared" si="0"/>
        <v>270000</v>
      </c>
      <c r="J46" s="13" t="s">
        <v>343</v>
      </c>
    </row>
    <row r="47" spans="1:22" ht="12.5" x14ac:dyDescent="0.25">
      <c r="A47" s="12" t="s">
        <v>161</v>
      </c>
      <c r="B47" s="12">
        <v>6</v>
      </c>
      <c r="C47" s="12" t="s">
        <v>51</v>
      </c>
      <c r="D47" s="13" t="s">
        <v>364</v>
      </c>
      <c r="E47" s="12" t="s">
        <v>22</v>
      </c>
      <c r="F47" s="12">
        <v>1</v>
      </c>
      <c r="G47" s="14" t="s">
        <v>133</v>
      </c>
      <c r="H47" s="15">
        <v>180000</v>
      </c>
      <c r="I47" s="15">
        <f t="shared" si="0"/>
        <v>180000</v>
      </c>
      <c r="J47" s="13" t="s">
        <v>343</v>
      </c>
    </row>
    <row r="48" spans="1:22" ht="12.5" x14ac:dyDescent="0.25">
      <c r="A48" s="12" t="s">
        <v>164</v>
      </c>
      <c r="B48" s="12">
        <v>20</v>
      </c>
      <c r="C48" s="12" t="s">
        <v>51</v>
      </c>
      <c r="D48" s="13" t="s">
        <v>254</v>
      </c>
      <c r="E48" s="12" t="s">
        <v>22</v>
      </c>
      <c r="F48" s="12">
        <v>1</v>
      </c>
      <c r="G48" s="14" t="s">
        <v>133</v>
      </c>
      <c r="H48" s="15">
        <v>1450000</v>
      </c>
      <c r="I48" s="15">
        <f t="shared" si="0"/>
        <v>1450000</v>
      </c>
      <c r="J48" s="13" t="s">
        <v>255</v>
      </c>
    </row>
    <row r="49" spans="1:10" ht="12.5" x14ac:dyDescent="0.25">
      <c r="A49" s="12" t="s">
        <v>166</v>
      </c>
      <c r="B49" s="12">
        <v>4</v>
      </c>
      <c r="C49" s="12" t="s">
        <v>10</v>
      </c>
      <c r="D49" s="13" t="s">
        <v>371</v>
      </c>
      <c r="E49" s="12" t="s">
        <v>68</v>
      </c>
      <c r="F49" s="12">
        <v>1</v>
      </c>
      <c r="G49" s="14" t="s">
        <v>133</v>
      </c>
      <c r="H49" s="15">
        <v>200000</v>
      </c>
      <c r="I49" s="15">
        <f t="shared" si="0"/>
        <v>200000</v>
      </c>
      <c r="J49" s="13" t="s">
        <v>374</v>
      </c>
    </row>
    <row r="50" spans="1:10" ht="12.5" x14ac:dyDescent="0.25">
      <c r="A50" s="12" t="s">
        <v>169</v>
      </c>
      <c r="B50" s="12">
        <v>5</v>
      </c>
      <c r="C50" s="12" t="s">
        <v>73</v>
      </c>
      <c r="D50" s="13" t="s">
        <v>376</v>
      </c>
      <c r="E50" s="12" t="s">
        <v>22</v>
      </c>
      <c r="F50" s="12">
        <v>1</v>
      </c>
      <c r="G50" s="14" t="s">
        <v>133</v>
      </c>
      <c r="H50" s="15">
        <v>60000</v>
      </c>
      <c r="I50" s="15">
        <f t="shared" si="0"/>
        <v>60000</v>
      </c>
      <c r="J50" s="13" t="s">
        <v>377</v>
      </c>
    </row>
    <row r="51" spans="1:10" ht="12.5" x14ac:dyDescent="0.25">
      <c r="A51" s="12" t="s">
        <v>171</v>
      </c>
      <c r="B51" s="12">
        <v>8</v>
      </c>
      <c r="C51" s="12" t="s">
        <v>51</v>
      </c>
      <c r="D51" s="13" t="s">
        <v>379</v>
      </c>
      <c r="E51" s="12" t="s">
        <v>22</v>
      </c>
      <c r="F51" s="12">
        <v>1</v>
      </c>
      <c r="G51" s="14" t="s">
        <v>133</v>
      </c>
      <c r="H51" s="15">
        <v>55000</v>
      </c>
      <c r="I51" s="15">
        <f t="shared" si="0"/>
        <v>55000</v>
      </c>
      <c r="J51" s="13" t="s">
        <v>220</v>
      </c>
    </row>
    <row r="52" spans="1:10" ht="12.5" x14ac:dyDescent="0.25">
      <c r="A52" s="12" t="s">
        <v>172</v>
      </c>
      <c r="B52" s="12">
        <v>8</v>
      </c>
      <c r="C52" s="12" t="s">
        <v>51</v>
      </c>
      <c r="D52" s="13" t="s">
        <v>353</v>
      </c>
      <c r="E52" s="12" t="s">
        <v>22</v>
      </c>
      <c r="F52" s="12">
        <v>1</v>
      </c>
      <c r="G52" s="14" t="s">
        <v>133</v>
      </c>
      <c r="H52" s="15">
        <v>250000</v>
      </c>
      <c r="I52" s="15">
        <f t="shared" si="0"/>
        <v>250000</v>
      </c>
      <c r="J52" s="13" t="s">
        <v>215</v>
      </c>
    </row>
    <row r="53" spans="1:10" ht="12.5" x14ac:dyDescent="0.25">
      <c r="A53" s="12" t="s">
        <v>175</v>
      </c>
      <c r="B53" s="12">
        <v>9</v>
      </c>
      <c r="C53" s="12" t="s">
        <v>83</v>
      </c>
      <c r="D53" s="13" t="s">
        <v>384</v>
      </c>
      <c r="E53" s="12" t="s">
        <v>22</v>
      </c>
      <c r="F53" s="12">
        <v>1</v>
      </c>
      <c r="G53" s="14" t="s">
        <v>133</v>
      </c>
      <c r="H53" s="15">
        <v>115000</v>
      </c>
      <c r="I53" s="15">
        <f t="shared" si="0"/>
        <v>115000</v>
      </c>
      <c r="J53" s="13" t="s">
        <v>386</v>
      </c>
    </row>
    <row r="54" spans="1:10" ht="12.5" x14ac:dyDescent="0.25">
      <c r="A54" s="12" t="s">
        <v>178</v>
      </c>
      <c r="B54" s="12">
        <v>9</v>
      </c>
      <c r="C54" s="12" t="s">
        <v>51</v>
      </c>
      <c r="D54" s="13" t="s">
        <v>379</v>
      </c>
      <c r="E54" s="12" t="s">
        <v>22</v>
      </c>
      <c r="F54" s="12">
        <v>1</v>
      </c>
      <c r="G54" s="14" t="s">
        <v>133</v>
      </c>
      <c r="H54" s="15">
        <v>50000</v>
      </c>
      <c r="I54" s="15">
        <f t="shared" si="0"/>
        <v>50000</v>
      </c>
      <c r="J54" s="13" t="s">
        <v>389</v>
      </c>
    </row>
    <row r="55" spans="1:10" ht="12.5" x14ac:dyDescent="0.25">
      <c r="A55" s="12" t="s">
        <v>181</v>
      </c>
      <c r="B55" s="12">
        <v>9</v>
      </c>
      <c r="C55" s="12" t="s">
        <v>51</v>
      </c>
      <c r="D55" s="13" t="s">
        <v>391</v>
      </c>
      <c r="E55" s="12" t="s">
        <v>22</v>
      </c>
      <c r="F55" s="12">
        <v>1</v>
      </c>
      <c r="G55" s="14" t="s">
        <v>133</v>
      </c>
      <c r="H55" s="15">
        <v>350000</v>
      </c>
      <c r="I55" s="15">
        <f t="shared" si="0"/>
        <v>350000</v>
      </c>
      <c r="J55" s="13" t="s">
        <v>394</v>
      </c>
    </row>
    <row r="56" spans="1:10" ht="12.5" x14ac:dyDescent="0.25">
      <c r="A56" s="12" t="s">
        <v>183</v>
      </c>
      <c r="B56" s="12">
        <v>10</v>
      </c>
      <c r="C56" s="12" t="s">
        <v>51</v>
      </c>
      <c r="D56" s="13" t="s">
        <v>396</v>
      </c>
      <c r="E56" s="12" t="s">
        <v>22</v>
      </c>
      <c r="F56" s="12">
        <v>1</v>
      </c>
      <c r="G56" s="14" t="s">
        <v>133</v>
      </c>
      <c r="H56" s="15">
        <v>210000</v>
      </c>
      <c r="I56" s="15">
        <f t="shared" si="0"/>
        <v>210000</v>
      </c>
      <c r="J56" s="13" t="s">
        <v>397</v>
      </c>
    </row>
    <row r="57" spans="1:10" ht="12.5" x14ac:dyDescent="0.25">
      <c r="A57" s="12" t="s">
        <v>186</v>
      </c>
      <c r="B57" s="12">
        <v>10</v>
      </c>
      <c r="C57" s="12" t="s">
        <v>51</v>
      </c>
      <c r="D57" s="13" t="s">
        <v>154</v>
      </c>
      <c r="E57" s="12" t="s">
        <v>22</v>
      </c>
      <c r="F57" s="12">
        <v>1</v>
      </c>
      <c r="G57" s="14" t="s">
        <v>133</v>
      </c>
      <c r="H57" s="15">
        <v>100000</v>
      </c>
      <c r="I57" s="15">
        <f t="shared" si="0"/>
        <v>100000</v>
      </c>
      <c r="J57" s="13" t="s">
        <v>401</v>
      </c>
    </row>
    <row r="58" spans="1:10" ht="12.5" x14ac:dyDescent="0.25">
      <c r="A58" s="12" t="s">
        <v>189</v>
      </c>
      <c r="B58" s="12">
        <v>10</v>
      </c>
      <c r="C58" s="12" t="s">
        <v>51</v>
      </c>
      <c r="D58" s="13" t="s">
        <v>403</v>
      </c>
      <c r="E58" s="12" t="s">
        <v>22</v>
      </c>
      <c r="F58" s="12">
        <v>1</v>
      </c>
      <c r="G58" s="14" t="s">
        <v>133</v>
      </c>
      <c r="H58" s="15">
        <v>100000</v>
      </c>
      <c r="I58" s="15">
        <f t="shared" si="0"/>
        <v>100000</v>
      </c>
      <c r="J58" s="13" t="s">
        <v>405</v>
      </c>
    </row>
    <row r="59" spans="1:10" ht="12.5" x14ac:dyDescent="0.25">
      <c r="A59" s="12" t="s">
        <v>191</v>
      </c>
      <c r="B59" s="12">
        <v>10</v>
      </c>
      <c r="C59" s="12" t="s">
        <v>73</v>
      </c>
      <c r="D59" s="13" t="s">
        <v>407</v>
      </c>
      <c r="E59" s="12" t="s">
        <v>22</v>
      </c>
      <c r="F59" s="12">
        <v>1</v>
      </c>
      <c r="G59" s="14" t="s">
        <v>133</v>
      </c>
      <c r="H59" s="15">
        <v>55000</v>
      </c>
      <c r="I59" s="15">
        <f t="shared" si="0"/>
        <v>55000</v>
      </c>
      <c r="J59" s="13" t="s">
        <v>409</v>
      </c>
    </row>
    <row r="60" spans="1:10" ht="12.5" x14ac:dyDescent="0.25">
      <c r="A60" s="12" t="s">
        <v>194</v>
      </c>
      <c r="B60" s="12">
        <v>11</v>
      </c>
      <c r="C60" s="12" t="s">
        <v>51</v>
      </c>
      <c r="D60" s="13" t="s">
        <v>410</v>
      </c>
      <c r="E60" s="12" t="s">
        <v>22</v>
      </c>
      <c r="F60" s="12">
        <v>1</v>
      </c>
      <c r="G60" s="14" t="s">
        <v>133</v>
      </c>
      <c r="H60" s="15">
        <v>80000</v>
      </c>
      <c r="I60" s="15">
        <f t="shared" si="0"/>
        <v>80000</v>
      </c>
      <c r="J60" s="13" t="s">
        <v>412</v>
      </c>
    </row>
    <row r="61" spans="1:10" ht="12.5" x14ac:dyDescent="0.25">
      <c r="A61" s="12" t="s">
        <v>197</v>
      </c>
      <c r="B61" s="12">
        <v>12</v>
      </c>
      <c r="C61" s="12" t="s">
        <v>83</v>
      </c>
      <c r="D61" s="13" t="s">
        <v>362</v>
      </c>
      <c r="E61" s="12" t="s">
        <v>22</v>
      </c>
      <c r="F61" s="12">
        <v>1</v>
      </c>
      <c r="G61" s="14" t="s">
        <v>133</v>
      </c>
      <c r="H61" s="15">
        <v>215000</v>
      </c>
      <c r="I61" s="15">
        <f t="shared" si="0"/>
        <v>215000</v>
      </c>
      <c r="J61" s="13" t="s">
        <v>415</v>
      </c>
    </row>
    <row r="62" spans="1:10" ht="12.5" x14ac:dyDescent="0.25">
      <c r="A62" s="12" t="s">
        <v>199</v>
      </c>
      <c r="B62" s="12">
        <v>12</v>
      </c>
      <c r="C62" s="12" t="s">
        <v>51</v>
      </c>
      <c r="D62" s="13" t="s">
        <v>418</v>
      </c>
      <c r="E62" s="12" t="s">
        <v>22</v>
      </c>
      <c r="F62" s="12">
        <v>1</v>
      </c>
      <c r="G62" s="14" t="s">
        <v>133</v>
      </c>
      <c r="H62" s="15">
        <v>190000</v>
      </c>
      <c r="I62" s="15">
        <f t="shared" si="0"/>
        <v>190000</v>
      </c>
      <c r="J62" s="13" t="s">
        <v>421</v>
      </c>
    </row>
    <row r="63" spans="1:10" ht="12.5" x14ac:dyDescent="0.25">
      <c r="A63" s="12" t="s">
        <v>202</v>
      </c>
      <c r="B63" s="12">
        <v>12</v>
      </c>
      <c r="C63" s="12" t="s">
        <v>51</v>
      </c>
      <c r="D63" s="13" t="s">
        <v>423</v>
      </c>
      <c r="E63" s="12" t="s">
        <v>22</v>
      </c>
      <c r="F63" s="12">
        <v>1</v>
      </c>
      <c r="G63" s="14" t="s">
        <v>133</v>
      </c>
      <c r="H63" s="15">
        <v>250000</v>
      </c>
      <c r="I63" s="15">
        <f t="shared" si="0"/>
        <v>250000</v>
      </c>
      <c r="J63" s="13" t="s">
        <v>425</v>
      </c>
    </row>
    <row r="64" spans="1:10" ht="12.5" x14ac:dyDescent="0.25">
      <c r="A64" s="12" t="s">
        <v>205</v>
      </c>
      <c r="B64" s="12">
        <v>13</v>
      </c>
      <c r="C64" s="12" t="s">
        <v>51</v>
      </c>
      <c r="D64" s="13" t="s">
        <v>86</v>
      </c>
      <c r="E64" s="12" t="s">
        <v>22</v>
      </c>
      <c r="F64" s="12">
        <v>1</v>
      </c>
      <c r="G64" s="14" t="s">
        <v>133</v>
      </c>
      <c r="H64" s="15">
        <v>560000</v>
      </c>
      <c r="I64" s="15">
        <f t="shared" si="0"/>
        <v>560000</v>
      </c>
      <c r="J64" s="13" t="s">
        <v>427</v>
      </c>
    </row>
    <row r="65" spans="1:10" ht="12.5" x14ac:dyDescent="0.25">
      <c r="A65" s="12" t="s">
        <v>207</v>
      </c>
      <c r="B65" s="12">
        <v>13</v>
      </c>
      <c r="C65" s="12" t="s">
        <v>83</v>
      </c>
      <c r="D65" s="13" t="s">
        <v>384</v>
      </c>
      <c r="E65" s="12" t="s">
        <v>22</v>
      </c>
      <c r="F65" s="12">
        <v>1</v>
      </c>
      <c r="G65" s="14" t="s">
        <v>133</v>
      </c>
      <c r="H65" s="15">
        <v>100000</v>
      </c>
      <c r="I65" s="15">
        <f t="shared" si="0"/>
        <v>100000</v>
      </c>
      <c r="J65" s="13" t="s">
        <v>429</v>
      </c>
    </row>
    <row r="66" spans="1:10" ht="12.5" x14ac:dyDescent="0.25">
      <c r="A66" s="12" t="s">
        <v>210</v>
      </c>
      <c r="B66" s="12">
        <v>14</v>
      </c>
      <c r="C66" s="12" t="s">
        <v>83</v>
      </c>
      <c r="D66" s="13" t="s">
        <v>362</v>
      </c>
      <c r="E66" s="12" t="s">
        <v>22</v>
      </c>
      <c r="F66" s="12">
        <v>1</v>
      </c>
      <c r="G66" s="14" t="s">
        <v>133</v>
      </c>
      <c r="H66" s="15">
        <v>135000</v>
      </c>
      <c r="I66" s="15">
        <f t="shared" si="0"/>
        <v>135000</v>
      </c>
      <c r="J66" s="13" t="s">
        <v>149</v>
      </c>
    </row>
    <row r="67" spans="1:10" ht="12.5" x14ac:dyDescent="0.25">
      <c r="A67" s="12" t="s">
        <v>213</v>
      </c>
      <c r="B67" s="12">
        <v>16</v>
      </c>
      <c r="C67" s="12" t="s">
        <v>51</v>
      </c>
      <c r="D67" s="13" t="s">
        <v>423</v>
      </c>
      <c r="E67" s="12" t="s">
        <v>22</v>
      </c>
      <c r="F67" s="12">
        <v>1</v>
      </c>
      <c r="G67" s="14" t="s">
        <v>133</v>
      </c>
      <c r="H67" s="15">
        <v>85000</v>
      </c>
      <c r="I67" s="15">
        <f t="shared" si="0"/>
        <v>85000</v>
      </c>
      <c r="J67" s="13" t="s">
        <v>431</v>
      </c>
    </row>
    <row r="68" spans="1:10" ht="12.5" x14ac:dyDescent="0.25">
      <c r="A68" s="12" t="s">
        <v>216</v>
      </c>
      <c r="B68" s="12">
        <v>16</v>
      </c>
      <c r="C68" s="12" t="s">
        <v>51</v>
      </c>
      <c r="D68" s="13" t="s">
        <v>432</v>
      </c>
      <c r="E68" s="12" t="s">
        <v>22</v>
      </c>
      <c r="F68" s="12">
        <v>1</v>
      </c>
      <c r="G68" s="14" t="s">
        <v>133</v>
      </c>
      <c r="H68" s="15">
        <v>200000</v>
      </c>
      <c r="I68" s="15">
        <f t="shared" si="0"/>
        <v>200000</v>
      </c>
      <c r="J68" s="13" t="s">
        <v>434</v>
      </c>
    </row>
    <row r="69" spans="1:10" ht="12.5" x14ac:dyDescent="0.25">
      <c r="A69" s="12" t="s">
        <v>218</v>
      </c>
      <c r="B69" s="12">
        <v>16</v>
      </c>
      <c r="C69" s="12" t="s">
        <v>83</v>
      </c>
      <c r="D69" s="13" t="s">
        <v>436</v>
      </c>
      <c r="E69" s="12" t="s">
        <v>68</v>
      </c>
      <c r="F69" s="12">
        <v>1</v>
      </c>
      <c r="G69" s="14" t="s">
        <v>133</v>
      </c>
      <c r="H69" s="15">
        <v>145000</v>
      </c>
      <c r="I69" s="15">
        <f t="shared" si="0"/>
        <v>145000</v>
      </c>
      <c r="J69" s="13" t="s">
        <v>347</v>
      </c>
    </row>
    <row r="70" spans="1:10" ht="12.5" x14ac:dyDescent="0.25">
      <c r="A70" s="12" t="s">
        <v>221</v>
      </c>
      <c r="B70" s="12">
        <v>16</v>
      </c>
      <c r="C70" s="12" t="s">
        <v>83</v>
      </c>
      <c r="D70" s="13" t="s">
        <v>362</v>
      </c>
      <c r="E70" s="12" t="s">
        <v>22</v>
      </c>
      <c r="F70" s="12">
        <v>1</v>
      </c>
      <c r="G70" s="14" t="s">
        <v>133</v>
      </c>
      <c r="H70" s="15">
        <v>85000</v>
      </c>
      <c r="I70" s="15">
        <f t="shared" si="0"/>
        <v>85000</v>
      </c>
      <c r="J70" s="13" t="s">
        <v>439</v>
      </c>
    </row>
    <row r="71" spans="1:10" ht="12.5" x14ac:dyDescent="0.25">
      <c r="A71" s="12" t="s">
        <v>224</v>
      </c>
      <c r="B71" s="12">
        <v>19</v>
      </c>
      <c r="C71" s="12" t="s">
        <v>51</v>
      </c>
      <c r="D71" s="13" t="s">
        <v>441</v>
      </c>
      <c r="E71" s="12" t="s">
        <v>22</v>
      </c>
      <c r="F71" s="12">
        <v>1</v>
      </c>
      <c r="G71" s="14" t="s">
        <v>133</v>
      </c>
      <c r="H71" s="15">
        <v>375000</v>
      </c>
      <c r="I71" s="15">
        <f t="shared" si="0"/>
        <v>375000</v>
      </c>
      <c r="J71" s="13" t="s">
        <v>427</v>
      </c>
    </row>
    <row r="72" spans="1:10" ht="12.5" x14ac:dyDescent="0.25">
      <c r="A72" s="12" t="s">
        <v>226</v>
      </c>
      <c r="B72" s="12">
        <v>19</v>
      </c>
      <c r="C72" s="12" t="s">
        <v>51</v>
      </c>
      <c r="D72" s="13" t="s">
        <v>444</v>
      </c>
      <c r="E72" s="12" t="s">
        <v>22</v>
      </c>
      <c r="F72" s="12">
        <v>1</v>
      </c>
      <c r="G72" s="14" t="s">
        <v>133</v>
      </c>
      <c r="H72" s="15">
        <v>255000</v>
      </c>
      <c r="I72" s="15">
        <f t="shared" si="0"/>
        <v>255000</v>
      </c>
      <c r="J72" s="13" t="s">
        <v>446</v>
      </c>
    </row>
    <row r="73" spans="1:10" ht="12.5" x14ac:dyDescent="0.25">
      <c r="A73" s="12" t="s">
        <v>229</v>
      </c>
      <c r="B73" s="12">
        <v>19</v>
      </c>
      <c r="C73" s="12" t="s">
        <v>51</v>
      </c>
      <c r="D73" s="13" t="s">
        <v>353</v>
      </c>
      <c r="E73" s="12" t="s">
        <v>22</v>
      </c>
      <c r="F73" s="12">
        <v>1</v>
      </c>
      <c r="G73" s="14" t="s">
        <v>133</v>
      </c>
      <c r="H73" s="15">
        <v>470000</v>
      </c>
      <c r="I73" s="15">
        <f t="shared" si="0"/>
        <v>470000</v>
      </c>
      <c r="J73" s="13" t="s">
        <v>215</v>
      </c>
    </row>
    <row r="74" spans="1:10" ht="12.5" x14ac:dyDescent="0.25">
      <c r="A74" s="12" t="s">
        <v>232</v>
      </c>
      <c r="B74" s="12">
        <v>20</v>
      </c>
      <c r="C74" s="12" t="s">
        <v>51</v>
      </c>
      <c r="D74" s="13" t="s">
        <v>451</v>
      </c>
      <c r="E74" s="12" t="s">
        <v>22</v>
      </c>
      <c r="F74" s="12">
        <v>1</v>
      </c>
      <c r="G74" s="14" t="s">
        <v>133</v>
      </c>
      <c r="H74" s="15">
        <v>400000</v>
      </c>
      <c r="I74" s="15">
        <f t="shared" si="0"/>
        <v>400000</v>
      </c>
      <c r="J74" s="13" t="s">
        <v>454</v>
      </c>
    </row>
    <row r="75" spans="1:10" ht="12.5" x14ac:dyDescent="0.25">
      <c r="A75" s="12" t="s">
        <v>235</v>
      </c>
      <c r="B75" s="12">
        <v>20</v>
      </c>
      <c r="C75" s="12" t="s">
        <v>51</v>
      </c>
      <c r="D75" s="13" t="s">
        <v>392</v>
      </c>
      <c r="E75" s="12" t="s">
        <v>22</v>
      </c>
      <c r="F75" s="12">
        <v>1</v>
      </c>
      <c r="G75" s="14" t="s">
        <v>133</v>
      </c>
      <c r="H75" s="15">
        <v>340000</v>
      </c>
      <c r="I75" s="15">
        <f t="shared" si="0"/>
        <v>340000</v>
      </c>
      <c r="J75" s="13" t="s">
        <v>457</v>
      </c>
    </row>
    <row r="76" spans="1:10" ht="12.5" x14ac:dyDescent="0.25">
      <c r="A76" s="12" t="s">
        <v>238</v>
      </c>
      <c r="B76" s="12">
        <v>20</v>
      </c>
      <c r="C76" s="12" t="s">
        <v>51</v>
      </c>
      <c r="D76" s="13" t="s">
        <v>353</v>
      </c>
      <c r="E76" s="12" t="s">
        <v>22</v>
      </c>
      <c r="F76" s="12">
        <v>1</v>
      </c>
      <c r="G76" s="14" t="s">
        <v>133</v>
      </c>
      <c r="H76" s="15">
        <v>530000</v>
      </c>
      <c r="I76" s="15">
        <f t="shared" si="0"/>
        <v>530000</v>
      </c>
      <c r="J76" s="13" t="s">
        <v>459</v>
      </c>
    </row>
    <row r="77" spans="1:10" ht="12.5" x14ac:dyDescent="0.25">
      <c r="A77" s="12" t="s">
        <v>241</v>
      </c>
      <c r="B77" s="12">
        <v>20</v>
      </c>
      <c r="C77" s="12" t="s">
        <v>51</v>
      </c>
      <c r="D77" s="13" t="s">
        <v>461</v>
      </c>
      <c r="E77" s="12" t="s">
        <v>22</v>
      </c>
      <c r="F77" s="12">
        <v>1</v>
      </c>
      <c r="G77" s="14" t="s">
        <v>133</v>
      </c>
      <c r="H77" s="15">
        <v>265000</v>
      </c>
      <c r="I77" s="15">
        <f t="shared" si="0"/>
        <v>265000</v>
      </c>
      <c r="J77" s="13" t="s">
        <v>462</v>
      </c>
    </row>
    <row r="78" spans="1:10" ht="12.5" x14ac:dyDescent="0.25">
      <c r="A78" s="12" t="s">
        <v>244</v>
      </c>
      <c r="B78" s="12">
        <v>20</v>
      </c>
      <c r="C78" s="12" t="s">
        <v>73</v>
      </c>
      <c r="D78" s="13" t="s">
        <v>464</v>
      </c>
      <c r="E78" s="12" t="s">
        <v>22</v>
      </c>
      <c r="F78" s="12">
        <v>1</v>
      </c>
      <c r="G78" s="14" t="s">
        <v>133</v>
      </c>
      <c r="H78" s="15">
        <v>135000</v>
      </c>
      <c r="I78" s="15">
        <f t="shared" si="0"/>
        <v>135000</v>
      </c>
      <c r="J78" s="13" t="s">
        <v>104</v>
      </c>
    </row>
    <row r="79" spans="1:10" ht="12.5" x14ac:dyDescent="0.25">
      <c r="A79" s="12" t="s">
        <v>247</v>
      </c>
      <c r="B79" s="12">
        <v>20</v>
      </c>
      <c r="C79" s="12" t="s">
        <v>51</v>
      </c>
      <c r="D79" s="13" t="s">
        <v>467</v>
      </c>
      <c r="E79" s="12" t="s">
        <v>22</v>
      </c>
      <c r="F79" s="12">
        <v>1</v>
      </c>
      <c r="G79" s="14" t="s">
        <v>133</v>
      </c>
      <c r="H79" s="15">
        <v>305000</v>
      </c>
      <c r="I79" s="15">
        <f t="shared" si="0"/>
        <v>305000</v>
      </c>
      <c r="J79" s="13" t="s">
        <v>469</v>
      </c>
    </row>
    <row r="80" spans="1:10" ht="12.5" x14ac:dyDescent="0.25">
      <c r="A80" s="12" t="s">
        <v>250</v>
      </c>
      <c r="B80" s="12">
        <v>21</v>
      </c>
      <c r="C80" s="12" t="s">
        <v>51</v>
      </c>
      <c r="D80" s="13" t="s">
        <v>470</v>
      </c>
      <c r="E80" s="12" t="s">
        <v>22</v>
      </c>
      <c r="F80" s="12">
        <v>1</v>
      </c>
      <c r="G80" s="14" t="s">
        <v>133</v>
      </c>
      <c r="H80" s="15">
        <v>230000</v>
      </c>
      <c r="I80" s="15">
        <f t="shared" si="0"/>
        <v>230000</v>
      </c>
      <c r="J80" s="13" t="s">
        <v>95</v>
      </c>
    </row>
    <row r="81" spans="1:10" ht="12.5" x14ac:dyDescent="0.25">
      <c r="A81" s="12" t="s">
        <v>253</v>
      </c>
      <c r="B81" s="12">
        <v>21</v>
      </c>
      <c r="C81" s="12" t="s">
        <v>51</v>
      </c>
      <c r="D81" s="13" t="s">
        <v>473</v>
      </c>
      <c r="E81" s="12" t="s">
        <v>22</v>
      </c>
      <c r="F81" s="12">
        <v>1</v>
      </c>
      <c r="G81" s="14" t="s">
        <v>133</v>
      </c>
      <c r="H81" s="15">
        <v>285000</v>
      </c>
      <c r="I81" s="15">
        <f t="shared" si="0"/>
        <v>285000</v>
      </c>
      <c r="J81" s="13" t="s">
        <v>475</v>
      </c>
    </row>
    <row r="82" spans="1:10" ht="12.5" x14ac:dyDescent="0.25">
      <c r="A82" s="12" t="s">
        <v>256</v>
      </c>
      <c r="B82" s="12">
        <v>22</v>
      </c>
      <c r="C82" s="12" t="s">
        <v>83</v>
      </c>
      <c r="D82" s="13" t="s">
        <v>384</v>
      </c>
      <c r="E82" s="12" t="s">
        <v>22</v>
      </c>
      <c r="F82" s="12">
        <v>1</v>
      </c>
      <c r="G82" s="14" t="s">
        <v>133</v>
      </c>
      <c r="H82" s="15">
        <v>120000</v>
      </c>
      <c r="I82" s="15">
        <f t="shared" si="0"/>
        <v>120000</v>
      </c>
      <c r="J82" s="13" t="s">
        <v>386</v>
      </c>
    </row>
    <row r="83" spans="1:10" ht="12.5" x14ac:dyDescent="0.25">
      <c r="A83" s="12" t="s">
        <v>258</v>
      </c>
      <c r="B83" s="12">
        <v>22</v>
      </c>
      <c r="C83" s="12" t="s">
        <v>73</v>
      </c>
      <c r="D83" s="13" t="s">
        <v>376</v>
      </c>
      <c r="E83" s="12" t="s">
        <v>22</v>
      </c>
      <c r="F83" s="12">
        <v>1</v>
      </c>
      <c r="G83" s="14" t="s">
        <v>133</v>
      </c>
      <c r="H83" s="15">
        <v>40000</v>
      </c>
      <c r="I83" s="15">
        <f t="shared" si="0"/>
        <v>40000</v>
      </c>
      <c r="J83" s="13" t="s">
        <v>377</v>
      </c>
    </row>
    <row r="84" spans="1:10" ht="12.5" x14ac:dyDescent="0.25">
      <c r="A84" s="12" t="s">
        <v>261</v>
      </c>
      <c r="B84" s="12">
        <v>24</v>
      </c>
      <c r="C84" s="12" t="s">
        <v>51</v>
      </c>
      <c r="D84" s="13" t="s">
        <v>154</v>
      </c>
      <c r="E84" s="12" t="s">
        <v>22</v>
      </c>
      <c r="F84" s="12">
        <v>1</v>
      </c>
      <c r="G84" s="14" t="s">
        <v>133</v>
      </c>
      <c r="H84" s="15">
        <v>80000</v>
      </c>
      <c r="I84" s="15">
        <f t="shared" si="0"/>
        <v>80000</v>
      </c>
      <c r="J84" s="13" t="s">
        <v>389</v>
      </c>
    </row>
    <row r="85" spans="1:10" ht="12.5" x14ac:dyDescent="0.25">
      <c r="A85" s="12" t="s">
        <v>265</v>
      </c>
      <c r="B85" s="12">
        <v>24</v>
      </c>
      <c r="C85" s="12" t="s">
        <v>51</v>
      </c>
      <c r="D85" s="13" t="s">
        <v>432</v>
      </c>
      <c r="E85" s="12" t="s">
        <v>22</v>
      </c>
      <c r="F85" s="12">
        <v>1</v>
      </c>
      <c r="G85" s="14" t="s">
        <v>133</v>
      </c>
      <c r="H85" s="15">
        <v>170000</v>
      </c>
      <c r="I85" s="15">
        <f t="shared" si="0"/>
        <v>170000</v>
      </c>
      <c r="J85" s="13" t="s">
        <v>394</v>
      </c>
    </row>
    <row r="86" spans="1:10" ht="12.5" x14ac:dyDescent="0.25">
      <c r="A86" s="12" t="s">
        <v>266</v>
      </c>
      <c r="B86" s="12">
        <v>24</v>
      </c>
      <c r="C86" s="12" t="s">
        <v>51</v>
      </c>
      <c r="D86" s="13" t="s">
        <v>165</v>
      </c>
      <c r="E86" s="12" t="s">
        <v>22</v>
      </c>
      <c r="F86" s="12">
        <v>1</v>
      </c>
      <c r="G86" s="14" t="s">
        <v>133</v>
      </c>
      <c r="H86" s="15">
        <v>795000</v>
      </c>
      <c r="I86" s="15">
        <f t="shared" si="0"/>
        <v>795000</v>
      </c>
      <c r="J86" s="13" t="s">
        <v>459</v>
      </c>
    </row>
    <row r="87" spans="1:10" ht="12.5" x14ac:dyDescent="0.25">
      <c r="A87" s="12" t="s">
        <v>267</v>
      </c>
      <c r="B87" s="12">
        <v>24</v>
      </c>
      <c r="C87" s="12" t="s">
        <v>51</v>
      </c>
      <c r="D87" s="13" t="s">
        <v>483</v>
      </c>
      <c r="E87" s="12" t="s">
        <v>22</v>
      </c>
      <c r="F87" s="12">
        <v>1</v>
      </c>
      <c r="G87" s="14" t="s">
        <v>133</v>
      </c>
      <c r="H87" s="15">
        <v>295000</v>
      </c>
      <c r="I87" s="15">
        <f t="shared" si="0"/>
        <v>295000</v>
      </c>
      <c r="J87" s="13" t="s">
        <v>484</v>
      </c>
    </row>
    <row r="88" spans="1:10" ht="12.5" x14ac:dyDescent="0.25">
      <c r="A88" s="12" t="s">
        <v>268</v>
      </c>
      <c r="B88" s="12">
        <v>24</v>
      </c>
      <c r="C88" s="12" t="s">
        <v>83</v>
      </c>
      <c r="D88" s="13" t="s">
        <v>485</v>
      </c>
      <c r="E88" s="12" t="s">
        <v>22</v>
      </c>
      <c r="F88" s="12">
        <v>1</v>
      </c>
      <c r="G88" s="14" t="s">
        <v>133</v>
      </c>
      <c r="H88" s="15">
        <v>75000</v>
      </c>
      <c r="I88" s="15">
        <f t="shared" si="0"/>
        <v>75000</v>
      </c>
      <c r="J88" s="13" t="s">
        <v>486</v>
      </c>
    </row>
    <row r="89" spans="1:10" ht="12.5" x14ac:dyDescent="0.25">
      <c r="A89" s="12" t="s">
        <v>270</v>
      </c>
      <c r="B89" s="12">
        <v>25</v>
      </c>
      <c r="C89" s="12" t="s">
        <v>51</v>
      </c>
      <c r="D89" s="13" t="s">
        <v>101</v>
      </c>
      <c r="E89" s="12" t="s">
        <v>22</v>
      </c>
      <c r="F89" s="12">
        <v>1</v>
      </c>
      <c r="G89" s="14" t="s">
        <v>133</v>
      </c>
      <c r="H89" s="15">
        <v>195000</v>
      </c>
      <c r="I89" s="15">
        <f t="shared" si="0"/>
        <v>195000</v>
      </c>
      <c r="J89" s="13" t="s">
        <v>487</v>
      </c>
    </row>
    <row r="90" spans="1:10" ht="12.5" x14ac:dyDescent="0.25">
      <c r="A90" s="12" t="s">
        <v>271</v>
      </c>
      <c r="B90" s="12">
        <v>25</v>
      </c>
      <c r="C90" s="12" t="s">
        <v>51</v>
      </c>
      <c r="D90" s="13" t="s">
        <v>165</v>
      </c>
      <c r="E90" s="12" t="s">
        <v>22</v>
      </c>
      <c r="F90" s="12">
        <v>1</v>
      </c>
      <c r="G90" s="14" t="s">
        <v>133</v>
      </c>
      <c r="H90" s="15">
        <v>515000</v>
      </c>
      <c r="I90" s="15">
        <f t="shared" si="0"/>
        <v>515000</v>
      </c>
      <c r="J90" s="13" t="s">
        <v>459</v>
      </c>
    </row>
    <row r="91" spans="1:10" ht="12.5" x14ac:dyDescent="0.25">
      <c r="A91" s="12" t="s">
        <v>272</v>
      </c>
      <c r="B91" s="12">
        <v>25</v>
      </c>
      <c r="C91" s="12" t="s">
        <v>51</v>
      </c>
      <c r="D91" s="13" t="s">
        <v>92</v>
      </c>
      <c r="E91" s="12" t="s">
        <v>22</v>
      </c>
      <c r="F91" s="12">
        <v>1</v>
      </c>
      <c r="G91" s="14" t="s">
        <v>133</v>
      </c>
      <c r="H91" s="15">
        <v>365000</v>
      </c>
      <c r="I91" s="15">
        <f t="shared" si="0"/>
        <v>365000</v>
      </c>
      <c r="J91" s="13" t="s">
        <v>488</v>
      </c>
    </row>
    <row r="92" spans="1:10" ht="12.5" x14ac:dyDescent="0.25">
      <c r="A92" s="12" t="s">
        <v>273</v>
      </c>
      <c r="B92" s="12">
        <v>25</v>
      </c>
      <c r="C92" s="12" t="s">
        <v>10</v>
      </c>
      <c r="D92" s="13" t="s">
        <v>489</v>
      </c>
      <c r="E92" s="12" t="s">
        <v>68</v>
      </c>
      <c r="F92" s="12">
        <v>1</v>
      </c>
      <c r="G92" s="14" t="s">
        <v>133</v>
      </c>
      <c r="H92" s="15">
        <v>325000</v>
      </c>
      <c r="I92" s="15">
        <f t="shared" si="0"/>
        <v>325000</v>
      </c>
      <c r="J92" s="13" t="s">
        <v>490</v>
      </c>
    </row>
    <row r="93" spans="1:10" ht="12.5" x14ac:dyDescent="0.25">
      <c r="A93" s="12" t="s">
        <v>274</v>
      </c>
      <c r="B93" s="12">
        <v>26</v>
      </c>
      <c r="C93" s="12" t="s">
        <v>51</v>
      </c>
      <c r="D93" s="13" t="s">
        <v>491</v>
      </c>
      <c r="E93" s="12" t="s">
        <v>22</v>
      </c>
      <c r="F93" s="12">
        <v>1</v>
      </c>
      <c r="G93" s="14" t="s">
        <v>133</v>
      </c>
      <c r="H93" s="15">
        <v>470000</v>
      </c>
      <c r="I93" s="15">
        <f t="shared" si="0"/>
        <v>470000</v>
      </c>
      <c r="J93" s="13" t="s">
        <v>452</v>
      </c>
    </row>
    <row r="94" spans="1:10" ht="12.5" x14ac:dyDescent="0.25">
      <c r="A94" s="12" t="s">
        <v>275</v>
      </c>
      <c r="B94" s="12">
        <v>26</v>
      </c>
      <c r="C94" s="12" t="s">
        <v>51</v>
      </c>
      <c r="D94" s="13" t="s">
        <v>492</v>
      </c>
      <c r="E94" s="12" t="s">
        <v>22</v>
      </c>
      <c r="F94" s="12">
        <v>1</v>
      </c>
      <c r="G94" s="14" t="s">
        <v>133</v>
      </c>
      <c r="H94" s="15">
        <v>345000</v>
      </c>
      <c r="I94" s="15">
        <f t="shared" si="0"/>
        <v>345000</v>
      </c>
      <c r="J94" s="13" t="s">
        <v>416</v>
      </c>
    </row>
    <row r="95" spans="1:10" ht="12.5" x14ac:dyDescent="0.25">
      <c r="A95" s="12" t="s">
        <v>276</v>
      </c>
      <c r="B95" s="12">
        <v>26</v>
      </c>
      <c r="C95" s="12" t="s">
        <v>73</v>
      </c>
      <c r="D95" s="13" t="s">
        <v>407</v>
      </c>
      <c r="E95" s="12" t="s">
        <v>22</v>
      </c>
      <c r="F95" s="12">
        <v>1</v>
      </c>
      <c r="G95" s="14" t="s">
        <v>133</v>
      </c>
      <c r="H95" s="15">
        <v>50000</v>
      </c>
      <c r="I95" s="15">
        <f t="shared" si="0"/>
        <v>50000</v>
      </c>
      <c r="J95" s="13" t="s">
        <v>409</v>
      </c>
    </row>
    <row r="96" spans="1:10" ht="12.5" x14ac:dyDescent="0.25">
      <c r="A96" s="12" t="s">
        <v>277</v>
      </c>
      <c r="B96" s="12">
        <v>27</v>
      </c>
      <c r="C96" s="12" t="s">
        <v>51</v>
      </c>
      <c r="D96" s="13" t="s">
        <v>493</v>
      </c>
      <c r="E96" s="12" t="s">
        <v>22</v>
      </c>
      <c r="F96" s="12">
        <v>1</v>
      </c>
      <c r="G96" s="14" t="s">
        <v>133</v>
      </c>
      <c r="H96" s="15">
        <v>250000</v>
      </c>
      <c r="I96" s="15">
        <f t="shared" si="0"/>
        <v>250000</v>
      </c>
      <c r="J96" s="13" t="s">
        <v>494</v>
      </c>
    </row>
    <row r="97" spans="1:10" ht="12.5" x14ac:dyDescent="0.25">
      <c r="A97" s="12" t="s">
        <v>278</v>
      </c>
      <c r="B97" s="12">
        <v>27</v>
      </c>
      <c r="C97" s="12" t="s">
        <v>10</v>
      </c>
      <c r="D97" s="13" t="s">
        <v>495</v>
      </c>
      <c r="E97" s="12" t="s">
        <v>68</v>
      </c>
      <c r="F97" s="12">
        <v>1</v>
      </c>
      <c r="G97" s="14" t="s">
        <v>133</v>
      </c>
      <c r="H97" s="15">
        <v>120000</v>
      </c>
      <c r="I97" s="15">
        <f t="shared" si="0"/>
        <v>120000</v>
      </c>
      <c r="J97" s="13" t="s">
        <v>496</v>
      </c>
    </row>
    <row r="98" spans="1:10" ht="12.5" x14ac:dyDescent="0.25">
      <c r="A98" s="12" t="s">
        <v>279</v>
      </c>
      <c r="B98" s="12">
        <v>28</v>
      </c>
      <c r="C98" s="12" t="s">
        <v>51</v>
      </c>
      <c r="D98" s="13" t="s">
        <v>359</v>
      </c>
      <c r="E98" s="12" t="s">
        <v>22</v>
      </c>
      <c r="F98" s="12">
        <v>1</v>
      </c>
      <c r="G98" s="14" t="s">
        <v>133</v>
      </c>
      <c r="H98" s="15">
        <v>160000</v>
      </c>
      <c r="I98" s="15">
        <f t="shared" si="0"/>
        <v>160000</v>
      </c>
      <c r="J98" s="14" t="s">
        <v>497</v>
      </c>
    </row>
    <row r="99" spans="1:10" ht="12.5" x14ac:dyDescent="0.25">
      <c r="A99" s="12" t="s">
        <v>280</v>
      </c>
      <c r="B99" s="12">
        <v>30</v>
      </c>
      <c r="C99" s="12" t="s">
        <v>262</v>
      </c>
      <c r="D99" s="13" t="s">
        <v>264</v>
      </c>
      <c r="E99" s="12" t="s">
        <v>22</v>
      </c>
      <c r="F99" s="12">
        <v>1</v>
      </c>
      <c r="G99" s="14" t="s">
        <v>133</v>
      </c>
      <c r="H99" s="15">
        <v>200000</v>
      </c>
      <c r="I99" s="15">
        <f t="shared" si="0"/>
        <v>200000</v>
      </c>
      <c r="J99" s="13" t="s">
        <v>498</v>
      </c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>
        <f t="shared" si="0"/>
        <v>0</v>
      </c>
      <c r="J100" s="13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>
        <f t="shared" si="0"/>
        <v>0</v>
      </c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>
        <f t="shared" si="0"/>
        <v>0</v>
      </c>
      <c r="J102" s="13"/>
    </row>
    <row r="103" spans="1:10" ht="12.5" x14ac:dyDescent="0.25">
      <c r="A103" s="12" t="s">
        <v>284</v>
      </c>
      <c r="B103" s="12"/>
      <c r="C103" s="12"/>
      <c r="D103" s="13"/>
      <c r="E103" s="12"/>
      <c r="F103" s="12"/>
      <c r="G103" s="14"/>
      <c r="H103" s="15"/>
      <c r="I103" s="15">
        <f t="shared" si="0"/>
        <v>0</v>
      </c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>
        <f t="shared" si="0"/>
        <v>0</v>
      </c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0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0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0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0"/>
        <v>0</v>
      </c>
      <c r="J108" s="13"/>
    </row>
    <row r="109" spans="1:10" ht="12.5" x14ac:dyDescent="0.25">
      <c r="A109" s="12" t="s">
        <v>291</v>
      </c>
      <c r="B109" s="12"/>
      <c r="C109" s="12"/>
      <c r="D109" s="13"/>
      <c r="E109" s="12"/>
      <c r="F109" s="12"/>
      <c r="G109" s="14"/>
      <c r="H109" s="15"/>
      <c r="I109" s="15">
        <f t="shared" si="0"/>
        <v>0</v>
      </c>
      <c r="J109" s="13"/>
    </row>
    <row r="110" spans="1:10" ht="12.5" x14ac:dyDescent="0.25">
      <c r="A110" s="12" t="s">
        <v>292</v>
      </c>
      <c r="B110" s="12"/>
      <c r="C110" s="12"/>
      <c r="D110" s="13"/>
      <c r="E110" s="12"/>
      <c r="F110" s="12"/>
      <c r="G110" s="14"/>
      <c r="H110" s="15"/>
      <c r="I110" s="15">
        <f t="shared" si="0"/>
        <v>0</v>
      </c>
      <c r="J110" s="13"/>
    </row>
    <row r="111" spans="1:10" ht="12.5" x14ac:dyDescent="0.25">
      <c r="A111" s="12" t="s">
        <v>293</v>
      </c>
      <c r="B111" s="12"/>
      <c r="C111" s="12"/>
      <c r="D111" s="13"/>
      <c r="E111" s="12"/>
      <c r="F111" s="12"/>
      <c r="G111" s="14"/>
      <c r="H111" s="15"/>
      <c r="I111" s="15">
        <f t="shared" si="0"/>
        <v>0</v>
      </c>
      <c r="J111" s="13"/>
    </row>
    <row r="112" spans="1:10" ht="12.5" x14ac:dyDescent="0.25">
      <c r="A112" s="12" t="s">
        <v>294</v>
      </c>
      <c r="B112" s="12"/>
      <c r="C112" s="12"/>
      <c r="D112" s="13"/>
      <c r="E112" s="12"/>
      <c r="F112" s="12"/>
      <c r="G112" s="14"/>
      <c r="H112" s="15"/>
      <c r="I112" s="15">
        <f t="shared" si="0"/>
        <v>0</v>
      </c>
      <c r="J112" s="13"/>
    </row>
    <row r="113" spans="1:10" ht="12.5" x14ac:dyDescent="0.25">
      <c r="A113" s="12" t="s">
        <v>295</v>
      </c>
      <c r="B113" s="12"/>
      <c r="C113" s="12"/>
      <c r="D113" s="13"/>
      <c r="E113" s="12"/>
      <c r="F113" s="12"/>
      <c r="G113" s="14"/>
      <c r="H113" s="15"/>
      <c r="I113" s="15">
        <f t="shared" si="0"/>
        <v>0</v>
      </c>
      <c r="J113" s="13"/>
    </row>
    <row r="114" spans="1:10" ht="12.5" x14ac:dyDescent="0.25">
      <c r="A114" s="12" t="s">
        <v>296</v>
      </c>
      <c r="B114" s="12"/>
      <c r="C114" s="12"/>
      <c r="D114" s="13"/>
      <c r="E114" s="12"/>
      <c r="F114" s="12"/>
      <c r="G114" s="14"/>
      <c r="H114" s="15"/>
      <c r="I114" s="15">
        <f t="shared" si="0"/>
        <v>0</v>
      </c>
      <c r="J114" s="13"/>
    </row>
    <row r="115" spans="1:10" ht="12.5" x14ac:dyDescent="0.25">
      <c r="A115" s="12" t="s">
        <v>297</v>
      </c>
      <c r="B115" s="12"/>
      <c r="C115" s="12"/>
      <c r="D115" s="13"/>
      <c r="E115" s="12"/>
      <c r="F115" s="12"/>
      <c r="G115" s="14"/>
      <c r="H115" s="15"/>
      <c r="I115" s="15">
        <f t="shared" si="0"/>
        <v>0</v>
      </c>
      <c r="J115" s="13"/>
    </row>
    <row r="116" spans="1:10" ht="12.5" x14ac:dyDescent="0.25">
      <c r="A116" s="12" t="s">
        <v>298</v>
      </c>
      <c r="B116" s="12"/>
      <c r="C116" s="12"/>
      <c r="D116" s="13"/>
      <c r="E116" s="12"/>
      <c r="F116" s="12"/>
      <c r="G116" s="14"/>
      <c r="H116" s="15"/>
      <c r="I116" s="15">
        <f t="shared" si="0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0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3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2">
    <dataValidation type="list" allowBlank="1" showErrorMessage="1" sqref="E20:E194" xr:uid="{00000000-0002-0000-0300-000000000000}">
      <formula1>"One Time,Reccuring"</formula1>
    </dataValidation>
    <dataValidation type="list" allowBlank="1" showErrorMessage="1" sqref="P18 C20:C194" xr:uid="{00000000-0002-0000-0300-000001000000}">
      <formula1>"Stock Dagangan,Stock Bahan,Operational,Packing,Tenant,Gaji Karyawan,Team"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Revenue'!AL27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15990500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499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35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15990500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4026000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194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IFERROR(__xludf.DUMMYFUNCTION("filter(A20:J194,C20:C194=P18)"),"7")</f>
        <v>7</v>
      </c>
      <c r="O20" s="7">
        <f ca="1">IFERROR(__xludf.DUMMYFUNCTION("""COMPUTED_VALUE"""),1)</f>
        <v>1</v>
      </c>
      <c r="P20" s="7" t="str">
        <f ca="1">IFERROR(__xludf.DUMMYFUNCTION("""COMPUTED_VALUE"""),"Gaji Karyawan")</f>
        <v>Gaji Karyawan</v>
      </c>
      <c r="Q20" s="7" t="str">
        <f ca="1">IFERROR(__xludf.DUMMYFUNCTION("""COMPUTED_VALUE"""),"Gaji Store + THR")</f>
        <v>Gaji Store + THR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IFERROR(__xludf.DUMMYFUNCTION("""COMPUTED_VALUE"""),2018000)</f>
        <v>2018000</v>
      </c>
      <c r="V20" s="17">
        <f ca="1">IFERROR(__xludf.DUMMYFUNCTION("""COMPUTED_VALUE"""),2018000)</f>
        <v>2018000</v>
      </c>
      <c r="W20" s="7" t="str">
        <f ca="1">IFERROR(__xludf.DUMMYFUNCTION("""COMPUTED_VALUE"""),"Ilmi ")</f>
        <v xml:space="preserve">Ilmi 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IFERROR(__xludf.DUMMYFUNCTION("""COMPUTED_VALUE"""),"8")</f>
        <v>8</v>
      </c>
      <c r="O21" s="7">
        <f ca="1">IFERROR(__xludf.DUMMYFUNCTION("""COMPUTED_VALUE"""),1)</f>
        <v>1</v>
      </c>
      <c r="P21" s="7" t="str">
        <f ca="1">IFERROR(__xludf.DUMMYFUNCTION("""COMPUTED_VALUE"""),"Gaji Karyawan")</f>
        <v>Gaji Karyawan</v>
      </c>
      <c r="Q21" s="7" t="str">
        <f ca="1">IFERROR(__xludf.DUMMYFUNCTION("""COMPUTED_VALUE"""),"Gaji Store + THR")</f>
        <v>Gaji Store + THR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IFERROR(__xludf.DUMMYFUNCTION("""COMPUTED_VALUE"""),1858000)</f>
        <v>1858000</v>
      </c>
      <c r="V21" s="17">
        <f ca="1">IFERROR(__xludf.DUMMYFUNCTION("""COMPUTED_VALUE"""),1858000)</f>
        <v>1858000</v>
      </c>
      <c r="W21" s="7" t="str">
        <f ca="1">IFERROR(__xludf.DUMMYFUNCTION("""COMPUTED_VALUE"""),"Erni")</f>
        <v>Erni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IFERROR(__xludf.DUMMYFUNCTION("""COMPUTED_VALUE"""),"11")</f>
        <v>11</v>
      </c>
      <c r="O22" s="7">
        <f ca="1">IFERROR(__xludf.DUMMYFUNCTION("""COMPUTED_VALUE"""),1)</f>
        <v>1</v>
      </c>
      <c r="P22" s="7" t="str">
        <f ca="1">IFERROR(__xludf.DUMMYFUNCTION("""COMPUTED_VALUE"""),"Gaji Karyawan")</f>
        <v>Gaji Karyawan</v>
      </c>
      <c r="Q22" s="7" t="str">
        <f ca="1">IFERROR(__xludf.DUMMYFUNCTION("""COMPUTED_VALUE"""),"Gaji CFD")</f>
        <v>Gaji CFD</v>
      </c>
      <c r="R22" s="7" t="str">
        <f ca="1">IFERROR(__xludf.DUMMYFUNCTION("""COMPUTED_VALUE"""),"Reccuring")</f>
        <v>Reccuring</v>
      </c>
      <c r="S22" s="7">
        <f ca="1">IFERROR(__xludf.DUMMYFUNCTION("""COMPUTED_VALUE"""),2)</f>
        <v>2</v>
      </c>
      <c r="T22" s="16" t="str">
        <f ca="1">IFERROR(__xludf.DUMMYFUNCTION("""COMPUTED_VALUE"""),"bulan ")</f>
        <v xml:space="preserve">bulan </v>
      </c>
      <c r="U22" s="17">
        <f ca="1">IFERROR(__xludf.DUMMYFUNCTION("""COMPUTED_VALUE"""),75000)</f>
        <v>75000</v>
      </c>
      <c r="V22" s="17">
        <f ca="1">IFERROR(__xludf.DUMMYFUNCTION("""COMPUTED_VALUE"""),150000)</f>
        <v>150000</v>
      </c>
      <c r="W22" s="7" t="str">
        <f ca="1">IFERROR(__xludf.DUMMYFUNCTION("""COMPUTED_VALUE"""),"Gaji CFD")</f>
        <v>Gaji CFD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U23" s="18"/>
      <c r="V23" s="18"/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U24" s="18"/>
      <c r="V24" s="18"/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U25" s="18"/>
      <c r="V25" s="18"/>
    </row>
    <row r="26" spans="1:25" ht="12.5" x14ac:dyDescent="0.25">
      <c r="A26" s="12" t="s">
        <v>119</v>
      </c>
      <c r="B26" s="12">
        <v>1</v>
      </c>
      <c r="C26" s="12" t="s">
        <v>35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2018000</v>
      </c>
      <c r="I26" s="15">
        <f t="shared" si="0"/>
        <v>2018000</v>
      </c>
      <c r="J26" s="13" t="s">
        <v>37</v>
      </c>
      <c r="U26" s="18"/>
      <c r="V26" s="18"/>
    </row>
    <row r="27" spans="1:25" ht="12.5" x14ac:dyDescent="0.25">
      <c r="A27" s="12" t="s">
        <v>121</v>
      </c>
      <c r="B27" s="12">
        <v>1</v>
      </c>
      <c r="C27" s="12" t="s">
        <v>35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1858000</v>
      </c>
      <c r="I27" s="15">
        <f t="shared" si="0"/>
        <v>1858000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39</v>
      </c>
      <c r="D28" s="13" t="s">
        <v>40</v>
      </c>
      <c r="E28" s="12" t="s">
        <v>22</v>
      </c>
      <c r="F28" s="12">
        <v>2</v>
      </c>
      <c r="G28" s="14" t="s">
        <v>23</v>
      </c>
      <c r="H28" s="15">
        <v>40000</v>
      </c>
      <c r="I28" s="15">
        <f t="shared" si="0"/>
        <v>80000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2</v>
      </c>
      <c r="G29" s="14" t="s">
        <v>23</v>
      </c>
      <c r="H29" s="15">
        <v>50000</v>
      </c>
      <c r="I29" s="15">
        <f t="shared" si="0"/>
        <v>100000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35</v>
      </c>
      <c r="D30" s="13" t="s">
        <v>44</v>
      </c>
      <c r="E30" s="12" t="s">
        <v>22</v>
      </c>
      <c r="F30" s="12">
        <v>2</v>
      </c>
      <c r="G30" s="14" t="s">
        <v>23</v>
      </c>
      <c r="H30" s="15">
        <v>75000</v>
      </c>
      <c r="I30" s="15">
        <f t="shared" si="0"/>
        <v>150000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1</v>
      </c>
      <c r="C33" s="12" t="s">
        <v>51</v>
      </c>
      <c r="D33" s="21" t="s">
        <v>500</v>
      </c>
      <c r="E33" s="12" t="s">
        <v>22</v>
      </c>
      <c r="F33" s="12">
        <v>1</v>
      </c>
      <c r="G33" s="14" t="s">
        <v>23</v>
      </c>
      <c r="H33" s="15">
        <v>245000</v>
      </c>
      <c r="I33" s="15">
        <f t="shared" si="0"/>
        <v>245000</v>
      </c>
      <c r="J33" s="13" t="s">
        <v>58</v>
      </c>
      <c r="U33" s="18"/>
      <c r="V33" s="18"/>
    </row>
    <row r="34" spans="1:22" ht="12.5" x14ac:dyDescent="0.25">
      <c r="A34" s="12" t="s">
        <v>128</v>
      </c>
      <c r="B34" s="12">
        <v>8</v>
      </c>
      <c r="C34" s="12" t="s">
        <v>51</v>
      </c>
      <c r="D34" s="21" t="s">
        <v>501</v>
      </c>
      <c r="E34" s="12" t="s">
        <v>22</v>
      </c>
      <c r="F34" s="12">
        <v>1</v>
      </c>
      <c r="G34" s="14" t="s">
        <v>81</v>
      </c>
      <c r="H34" s="15">
        <v>235000</v>
      </c>
      <c r="I34" s="15">
        <f t="shared" si="0"/>
        <v>235000</v>
      </c>
      <c r="J34" s="13" t="s">
        <v>502</v>
      </c>
      <c r="U34" s="18"/>
      <c r="V34" s="18"/>
    </row>
    <row r="35" spans="1:22" ht="12.5" x14ac:dyDescent="0.25">
      <c r="A35" s="12" t="s">
        <v>129</v>
      </c>
      <c r="B35" s="12">
        <v>12</v>
      </c>
      <c r="C35" s="12" t="s">
        <v>51</v>
      </c>
      <c r="D35" s="21" t="s">
        <v>96</v>
      </c>
      <c r="E35" s="12" t="s">
        <v>22</v>
      </c>
      <c r="F35" s="12">
        <v>1</v>
      </c>
      <c r="G35" s="14" t="s">
        <v>81</v>
      </c>
      <c r="H35" s="15">
        <v>210000</v>
      </c>
      <c r="I35" s="15">
        <f t="shared" si="0"/>
        <v>210000</v>
      </c>
      <c r="J35" s="13" t="s">
        <v>503</v>
      </c>
      <c r="U35" s="18"/>
      <c r="V35" s="18"/>
    </row>
    <row r="36" spans="1:22" ht="12.5" x14ac:dyDescent="0.25">
      <c r="A36" s="12" t="s">
        <v>127</v>
      </c>
      <c r="B36" s="12">
        <v>12</v>
      </c>
      <c r="C36" s="12" t="s">
        <v>83</v>
      </c>
      <c r="D36" s="21" t="s">
        <v>379</v>
      </c>
      <c r="E36" s="12" t="s">
        <v>22</v>
      </c>
      <c r="F36" s="12">
        <v>1</v>
      </c>
      <c r="G36" s="14" t="s">
        <v>81</v>
      </c>
      <c r="H36" s="15">
        <v>270000</v>
      </c>
      <c r="I36" s="15">
        <f t="shared" si="0"/>
        <v>270000</v>
      </c>
      <c r="J36" s="13" t="s">
        <v>143</v>
      </c>
    </row>
    <row r="37" spans="1:22" ht="12.5" x14ac:dyDescent="0.25">
      <c r="A37" s="12" t="s">
        <v>128</v>
      </c>
      <c r="B37" s="12">
        <v>12</v>
      </c>
      <c r="C37" s="12" t="s">
        <v>51</v>
      </c>
      <c r="D37" s="21" t="s">
        <v>504</v>
      </c>
      <c r="E37" s="12" t="s">
        <v>22</v>
      </c>
      <c r="F37" s="12">
        <v>1</v>
      </c>
      <c r="G37" s="14" t="s">
        <v>81</v>
      </c>
      <c r="H37" s="15">
        <v>150000</v>
      </c>
      <c r="I37" s="15">
        <f t="shared" si="0"/>
        <v>150000</v>
      </c>
      <c r="J37" s="13" t="s">
        <v>505</v>
      </c>
    </row>
    <row r="38" spans="1:22" ht="12.5" x14ac:dyDescent="0.25">
      <c r="A38" s="12" t="s">
        <v>129</v>
      </c>
      <c r="B38" s="12">
        <v>13</v>
      </c>
      <c r="C38" s="12" t="s">
        <v>51</v>
      </c>
      <c r="D38" s="21" t="s">
        <v>353</v>
      </c>
      <c r="E38" s="12" t="s">
        <v>22</v>
      </c>
      <c r="F38" s="12">
        <v>1</v>
      </c>
      <c r="G38" s="14" t="s">
        <v>81</v>
      </c>
      <c r="H38" s="15">
        <v>715000</v>
      </c>
      <c r="I38" s="15">
        <f t="shared" si="0"/>
        <v>715000</v>
      </c>
      <c r="J38" s="13" t="s">
        <v>215</v>
      </c>
    </row>
    <row r="39" spans="1:22" ht="12.5" x14ac:dyDescent="0.25">
      <c r="A39" s="12" t="s">
        <v>138</v>
      </c>
      <c r="B39" s="12">
        <v>18</v>
      </c>
      <c r="C39" s="12" t="s">
        <v>51</v>
      </c>
      <c r="D39" s="21" t="s">
        <v>107</v>
      </c>
      <c r="E39" s="12" t="s">
        <v>22</v>
      </c>
      <c r="F39" s="12">
        <v>1</v>
      </c>
      <c r="G39" s="14" t="s">
        <v>81</v>
      </c>
      <c r="H39" s="15">
        <v>170000</v>
      </c>
      <c r="I39" s="15">
        <f t="shared" si="0"/>
        <v>170000</v>
      </c>
      <c r="J39" s="13" t="s">
        <v>506</v>
      </c>
    </row>
    <row r="40" spans="1:22" ht="12.5" x14ac:dyDescent="0.25">
      <c r="A40" s="12" t="s">
        <v>141</v>
      </c>
      <c r="B40" s="12">
        <v>20</v>
      </c>
      <c r="C40" s="12" t="s">
        <v>51</v>
      </c>
      <c r="D40" s="21" t="s">
        <v>507</v>
      </c>
      <c r="E40" s="12" t="s">
        <v>22</v>
      </c>
      <c r="F40" s="12">
        <v>1</v>
      </c>
      <c r="G40" s="14" t="s">
        <v>81</v>
      </c>
      <c r="H40" s="15">
        <v>205000</v>
      </c>
      <c r="I40" s="15">
        <f t="shared" si="0"/>
        <v>205000</v>
      </c>
      <c r="J40" s="13" t="s">
        <v>508</v>
      </c>
    </row>
    <row r="41" spans="1:22" ht="12.5" x14ac:dyDescent="0.25">
      <c r="A41" s="12" t="s">
        <v>144</v>
      </c>
      <c r="B41" s="12">
        <v>21</v>
      </c>
      <c r="C41" s="12" t="s">
        <v>51</v>
      </c>
      <c r="D41" s="21" t="s">
        <v>509</v>
      </c>
      <c r="E41" s="12" t="s">
        <v>22</v>
      </c>
      <c r="F41" s="12">
        <v>1</v>
      </c>
      <c r="G41" s="14" t="s">
        <v>81</v>
      </c>
      <c r="H41" s="15">
        <v>145000</v>
      </c>
      <c r="I41" s="15">
        <f t="shared" si="0"/>
        <v>145000</v>
      </c>
      <c r="J41" s="13" t="s">
        <v>502</v>
      </c>
    </row>
    <row r="42" spans="1:22" ht="12.5" x14ac:dyDescent="0.25">
      <c r="A42" s="12" t="s">
        <v>147</v>
      </c>
      <c r="B42" s="12">
        <v>21</v>
      </c>
      <c r="C42" s="12" t="s">
        <v>51</v>
      </c>
      <c r="D42" s="21" t="s">
        <v>510</v>
      </c>
      <c r="E42" s="12" t="s">
        <v>22</v>
      </c>
      <c r="F42" s="12">
        <v>1</v>
      </c>
      <c r="G42" s="14" t="s">
        <v>81</v>
      </c>
      <c r="H42" s="15">
        <v>75000</v>
      </c>
      <c r="I42" s="15">
        <f t="shared" si="0"/>
        <v>75000</v>
      </c>
      <c r="J42" s="13" t="s">
        <v>511</v>
      </c>
    </row>
    <row r="43" spans="1:22" ht="12.5" x14ac:dyDescent="0.25">
      <c r="A43" s="12" t="s">
        <v>150</v>
      </c>
      <c r="B43" s="12">
        <v>21</v>
      </c>
      <c r="C43" s="12" t="s">
        <v>83</v>
      </c>
      <c r="D43" s="21" t="s">
        <v>512</v>
      </c>
      <c r="E43" s="12" t="s">
        <v>22</v>
      </c>
      <c r="F43" s="12">
        <v>1</v>
      </c>
      <c r="G43" s="14" t="s">
        <v>81</v>
      </c>
      <c r="H43" s="15">
        <v>145000</v>
      </c>
      <c r="I43" s="15">
        <f t="shared" si="0"/>
        <v>145000</v>
      </c>
      <c r="J43" s="13" t="s">
        <v>513</v>
      </c>
    </row>
    <row r="44" spans="1:22" ht="12.5" x14ac:dyDescent="0.25">
      <c r="A44" s="12" t="s">
        <v>153</v>
      </c>
      <c r="B44" s="12">
        <v>24</v>
      </c>
      <c r="C44" s="12" t="s">
        <v>51</v>
      </c>
      <c r="D44" s="21" t="s">
        <v>514</v>
      </c>
      <c r="E44" s="12" t="s">
        <v>22</v>
      </c>
      <c r="F44" s="12">
        <v>1</v>
      </c>
      <c r="G44" s="14" t="s">
        <v>81</v>
      </c>
      <c r="H44" s="15">
        <v>210000</v>
      </c>
      <c r="I44" s="15">
        <f t="shared" si="0"/>
        <v>210000</v>
      </c>
      <c r="J44" s="13" t="s">
        <v>515</v>
      </c>
    </row>
    <row r="45" spans="1:22" ht="12.5" x14ac:dyDescent="0.25">
      <c r="A45" s="12" t="s">
        <v>156</v>
      </c>
      <c r="B45" s="12">
        <v>24</v>
      </c>
      <c r="C45" s="12" t="s">
        <v>51</v>
      </c>
      <c r="D45" s="21" t="s">
        <v>516</v>
      </c>
      <c r="E45" s="12" t="s">
        <v>22</v>
      </c>
      <c r="F45" s="12">
        <v>1</v>
      </c>
      <c r="G45" s="14" t="s">
        <v>81</v>
      </c>
      <c r="H45" s="15">
        <v>120000</v>
      </c>
      <c r="I45" s="15">
        <f t="shared" si="0"/>
        <v>120000</v>
      </c>
      <c r="J45" s="13" t="s">
        <v>517</v>
      </c>
    </row>
    <row r="46" spans="1:22" ht="12.5" x14ac:dyDescent="0.25">
      <c r="A46" s="12" t="s">
        <v>158</v>
      </c>
      <c r="B46" s="12">
        <v>28</v>
      </c>
      <c r="C46" s="12" t="s">
        <v>51</v>
      </c>
      <c r="D46" s="21" t="s">
        <v>518</v>
      </c>
      <c r="E46" s="12" t="s">
        <v>22</v>
      </c>
      <c r="F46" s="12">
        <v>1</v>
      </c>
      <c r="G46" s="14" t="s">
        <v>81</v>
      </c>
      <c r="H46" s="15">
        <v>110000</v>
      </c>
      <c r="I46" s="15">
        <f t="shared" si="0"/>
        <v>110000</v>
      </c>
      <c r="J46" s="13" t="s">
        <v>519</v>
      </c>
    </row>
    <row r="47" spans="1:22" ht="12.5" x14ac:dyDescent="0.25">
      <c r="A47" s="12" t="s">
        <v>161</v>
      </c>
      <c r="B47" s="12">
        <v>28</v>
      </c>
      <c r="C47" s="12" t="s">
        <v>51</v>
      </c>
      <c r="D47" s="21" t="s">
        <v>520</v>
      </c>
      <c r="E47" s="12" t="s">
        <v>22</v>
      </c>
      <c r="F47" s="12">
        <v>1</v>
      </c>
      <c r="G47" s="14" t="s">
        <v>81</v>
      </c>
      <c r="H47" s="15">
        <v>225000</v>
      </c>
      <c r="I47" s="15">
        <f t="shared" si="0"/>
        <v>225000</v>
      </c>
      <c r="J47" s="13" t="s">
        <v>521</v>
      </c>
    </row>
    <row r="48" spans="1:22" ht="12.5" x14ac:dyDescent="0.25">
      <c r="A48" s="12" t="s">
        <v>164</v>
      </c>
      <c r="B48" s="12">
        <v>29</v>
      </c>
      <c r="C48" s="12" t="s">
        <v>51</v>
      </c>
      <c r="D48" s="21" t="s">
        <v>522</v>
      </c>
      <c r="E48" s="12" t="s">
        <v>22</v>
      </c>
      <c r="F48" s="12">
        <v>1</v>
      </c>
      <c r="G48" s="14" t="s">
        <v>81</v>
      </c>
      <c r="H48" s="15">
        <v>100000</v>
      </c>
      <c r="I48" s="15">
        <f t="shared" si="0"/>
        <v>100000</v>
      </c>
      <c r="J48" s="13" t="s">
        <v>523</v>
      </c>
    </row>
    <row r="49" spans="1:10" ht="12.5" x14ac:dyDescent="0.25">
      <c r="A49" s="12" t="s">
        <v>166</v>
      </c>
      <c r="B49" s="12">
        <v>29</v>
      </c>
      <c r="C49" s="12" t="s">
        <v>51</v>
      </c>
      <c r="D49" s="21" t="s">
        <v>524</v>
      </c>
      <c r="E49" s="12" t="s">
        <v>22</v>
      </c>
      <c r="F49" s="12">
        <v>1</v>
      </c>
      <c r="G49" s="14" t="s">
        <v>81</v>
      </c>
      <c r="H49" s="15">
        <v>235000</v>
      </c>
      <c r="I49" s="15">
        <f t="shared" si="0"/>
        <v>235000</v>
      </c>
      <c r="J49" s="13" t="s">
        <v>525</v>
      </c>
    </row>
    <row r="50" spans="1:10" ht="12.5" x14ac:dyDescent="0.25">
      <c r="A50" s="12" t="s">
        <v>169</v>
      </c>
      <c r="B50" s="12">
        <v>30</v>
      </c>
      <c r="C50" s="12" t="s">
        <v>83</v>
      </c>
      <c r="D50" s="21" t="s">
        <v>526</v>
      </c>
      <c r="E50" s="12" t="s">
        <v>22</v>
      </c>
      <c r="F50" s="12">
        <v>1</v>
      </c>
      <c r="G50" s="14" t="s">
        <v>81</v>
      </c>
      <c r="H50" s="15">
        <v>145000</v>
      </c>
      <c r="I50" s="15">
        <f t="shared" si="0"/>
        <v>145000</v>
      </c>
      <c r="J50" s="13" t="s">
        <v>527</v>
      </c>
    </row>
    <row r="51" spans="1:10" ht="12.5" x14ac:dyDescent="0.25">
      <c r="A51" s="12" t="s">
        <v>171</v>
      </c>
      <c r="B51" s="12">
        <v>30</v>
      </c>
      <c r="C51" s="12" t="s">
        <v>51</v>
      </c>
      <c r="D51" s="21" t="s">
        <v>528</v>
      </c>
      <c r="E51" s="12" t="s">
        <v>22</v>
      </c>
      <c r="F51" s="12">
        <v>1</v>
      </c>
      <c r="G51" s="14" t="s">
        <v>81</v>
      </c>
      <c r="H51" s="15">
        <v>625000</v>
      </c>
      <c r="I51" s="15">
        <f t="shared" si="0"/>
        <v>625000</v>
      </c>
      <c r="J51" s="13" t="s">
        <v>529</v>
      </c>
    </row>
    <row r="52" spans="1:10" ht="12.5" x14ac:dyDescent="0.25">
      <c r="A52" s="12" t="s">
        <v>172</v>
      </c>
      <c r="B52" s="12">
        <v>30</v>
      </c>
      <c r="C52" s="12" t="s">
        <v>51</v>
      </c>
      <c r="D52" s="21" t="s">
        <v>530</v>
      </c>
      <c r="E52" s="12" t="s">
        <v>22</v>
      </c>
      <c r="F52" s="12">
        <v>1</v>
      </c>
      <c r="G52" s="14" t="s">
        <v>81</v>
      </c>
      <c r="H52" s="15">
        <v>120000</v>
      </c>
      <c r="I52" s="15">
        <f t="shared" si="0"/>
        <v>120000</v>
      </c>
      <c r="J52" s="13" t="s">
        <v>531</v>
      </c>
    </row>
    <row r="53" spans="1:10" ht="12.5" x14ac:dyDescent="0.25">
      <c r="A53" s="12" t="s">
        <v>175</v>
      </c>
      <c r="B53" s="12">
        <v>30</v>
      </c>
      <c r="C53" s="12" t="s">
        <v>51</v>
      </c>
      <c r="D53" s="21" t="s">
        <v>353</v>
      </c>
      <c r="E53" s="12" t="s">
        <v>22</v>
      </c>
      <c r="F53" s="12">
        <v>1</v>
      </c>
      <c r="G53" s="14" t="s">
        <v>81</v>
      </c>
      <c r="H53" s="15">
        <v>410000</v>
      </c>
      <c r="I53" s="15">
        <f t="shared" si="0"/>
        <v>410000</v>
      </c>
      <c r="J53" s="13" t="s">
        <v>215</v>
      </c>
    </row>
    <row r="54" spans="1:10" ht="12.5" x14ac:dyDescent="0.25">
      <c r="A54" s="12" t="s">
        <v>178</v>
      </c>
      <c r="B54" s="12">
        <v>30</v>
      </c>
      <c r="C54" s="12" t="s">
        <v>51</v>
      </c>
      <c r="D54" s="21" t="s">
        <v>353</v>
      </c>
      <c r="E54" s="12" t="s">
        <v>22</v>
      </c>
      <c r="F54" s="12">
        <v>1</v>
      </c>
      <c r="G54" s="14" t="s">
        <v>81</v>
      </c>
      <c r="H54" s="15">
        <v>410000</v>
      </c>
      <c r="I54" s="15">
        <f t="shared" si="0"/>
        <v>410000</v>
      </c>
      <c r="J54" s="13" t="s">
        <v>215</v>
      </c>
    </row>
    <row r="55" spans="1:10" ht="12.5" x14ac:dyDescent="0.25">
      <c r="A55" s="12" t="s">
        <v>181</v>
      </c>
      <c r="B55" s="12">
        <v>19</v>
      </c>
      <c r="C55" s="12" t="s">
        <v>51</v>
      </c>
      <c r="D55" s="21" t="s">
        <v>248</v>
      </c>
      <c r="E55" s="12" t="s">
        <v>22</v>
      </c>
      <c r="F55" s="12">
        <v>1</v>
      </c>
      <c r="G55" s="14" t="s">
        <v>81</v>
      </c>
      <c r="H55" s="15">
        <v>2278000</v>
      </c>
      <c r="I55" s="15">
        <f t="shared" si="0"/>
        <v>2278000</v>
      </c>
      <c r="J55" s="13" t="s">
        <v>249</v>
      </c>
    </row>
    <row r="56" spans="1:10" ht="12.5" x14ac:dyDescent="0.25">
      <c r="A56" s="12" t="s">
        <v>183</v>
      </c>
      <c r="B56" s="12">
        <v>23</v>
      </c>
      <c r="C56" s="12" t="s">
        <v>51</v>
      </c>
      <c r="D56" s="21" t="s">
        <v>532</v>
      </c>
      <c r="E56" s="12" t="s">
        <v>22</v>
      </c>
      <c r="F56" s="12">
        <v>1</v>
      </c>
      <c r="G56" s="14" t="s">
        <v>81</v>
      </c>
      <c r="H56" s="15">
        <v>765000</v>
      </c>
      <c r="I56" s="15">
        <f t="shared" si="0"/>
        <v>765000</v>
      </c>
      <c r="J56" s="13" t="s">
        <v>533</v>
      </c>
    </row>
    <row r="57" spans="1:10" ht="12.5" x14ac:dyDescent="0.25">
      <c r="A57" s="12" t="s">
        <v>186</v>
      </c>
      <c r="B57" s="12">
        <v>8</v>
      </c>
      <c r="C57" s="12" t="s">
        <v>51</v>
      </c>
      <c r="D57" s="21" t="s">
        <v>353</v>
      </c>
      <c r="E57" s="12" t="s">
        <v>22</v>
      </c>
      <c r="F57" s="12">
        <v>1</v>
      </c>
      <c r="G57" s="14" t="s">
        <v>81</v>
      </c>
      <c r="H57" s="15">
        <v>460000</v>
      </c>
      <c r="I57" s="15">
        <f t="shared" si="0"/>
        <v>460000</v>
      </c>
      <c r="J57" s="13" t="s">
        <v>534</v>
      </c>
    </row>
    <row r="58" spans="1:10" ht="12.5" x14ac:dyDescent="0.25">
      <c r="A58" s="12" t="s">
        <v>189</v>
      </c>
      <c r="B58" s="12"/>
      <c r="C58" s="12"/>
      <c r="D58" s="21"/>
      <c r="E58" s="12"/>
      <c r="F58" s="12"/>
      <c r="G58" s="14"/>
      <c r="H58" s="15"/>
      <c r="I58" s="15">
        <f t="shared" si="0"/>
        <v>0</v>
      </c>
      <c r="J58" s="13"/>
    </row>
    <row r="59" spans="1:10" ht="12.5" x14ac:dyDescent="0.25">
      <c r="A59" s="12" t="s">
        <v>191</v>
      </c>
      <c r="B59" s="12"/>
      <c r="C59" s="12"/>
      <c r="D59" s="21"/>
      <c r="E59" s="12"/>
      <c r="F59" s="12"/>
      <c r="G59" s="14"/>
      <c r="H59" s="15"/>
      <c r="I59" s="15">
        <f t="shared" si="0"/>
        <v>0</v>
      </c>
      <c r="J59" s="13"/>
    </row>
    <row r="60" spans="1:10" ht="12.5" x14ac:dyDescent="0.25">
      <c r="A60" s="12" t="s">
        <v>194</v>
      </c>
      <c r="B60" s="12"/>
      <c r="C60" s="12"/>
      <c r="D60" s="21"/>
      <c r="E60" s="12"/>
      <c r="F60" s="12"/>
      <c r="G60" s="14"/>
      <c r="H60" s="15"/>
      <c r="I60" s="15">
        <f t="shared" si="0"/>
        <v>0</v>
      </c>
      <c r="J60" s="13"/>
    </row>
    <row r="61" spans="1:10" ht="12.5" x14ac:dyDescent="0.25">
      <c r="A61" s="12" t="s">
        <v>197</v>
      </c>
      <c r="B61" s="12"/>
      <c r="C61" s="12"/>
      <c r="D61" s="21"/>
      <c r="E61" s="12"/>
      <c r="F61" s="12"/>
      <c r="G61" s="14"/>
      <c r="H61" s="15"/>
      <c r="I61" s="15">
        <f t="shared" si="0"/>
        <v>0</v>
      </c>
      <c r="J61" s="13"/>
    </row>
    <row r="62" spans="1:10" ht="12.5" x14ac:dyDescent="0.25">
      <c r="A62" s="12" t="s">
        <v>199</v>
      </c>
      <c r="B62" s="12"/>
      <c r="C62" s="12"/>
      <c r="D62" s="21"/>
      <c r="E62" s="12"/>
      <c r="F62" s="12"/>
      <c r="G62" s="14"/>
      <c r="H62" s="15"/>
      <c r="I62" s="15">
        <f t="shared" si="0"/>
        <v>0</v>
      </c>
      <c r="J62" s="13"/>
    </row>
    <row r="63" spans="1:10" ht="12.5" x14ac:dyDescent="0.25">
      <c r="A63" s="12" t="s">
        <v>202</v>
      </c>
      <c r="B63" s="12"/>
      <c r="C63" s="12"/>
      <c r="D63" s="21"/>
      <c r="E63" s="12"/>
      <c r="F63" s="12"/>
      <c r="G63" s="14"/>
      <c r="H63" s="15"/>
      <c r="I63" s="15">
        <f t="shared" si="0"/>
        <v>0</v>
      </c>
      <c r="J63" s="13"/>
    </row>
    <row r="64" spans="1:10" ht="12.5" x14ac:dyDescent="0.25">
      <c r="A64" s="12" t="s">
        <v>205</v>
      </c>
      <c r="B64" s="12"/>
      <c r="C64" s="12"/>
      <c r="D64" s="21"/>
      <c r="E64" s="12"/>
      <c r="F64" s="12"/>
      <c r="G64" s="14"/>
      <c r="H64" s="15"/>
      <c r="I64" s="15">
        <f t="shared" si="0"/>
        <v>0</v>
      </c>
      <c r="J64" s="13"/>
    </row>
    <row r="65" spans="1:10" ht="12.5" x14ac:dyDescent="0.25">
      <c r="A65" s="12" t="s">
        <v>207</v>
      </c>
      <c r="B65" s="12"/>
      <c r="C65" s="12"/>
      <c r="D65" s="21"/>
      <c r="E65" s="12"/>
      <c r="F65" s="12"/>
      <c r="G65" s="14"/>
      <c r="H65" s="15"/>
      <c r="I65" s="15">
        <f t="shared" si="0"/>
        <v>0</v>
      </c>
      <c r="J65" s="13"/>
    </row>
    <row r="66" spans="1:10" ht="12.5" x14ac:dyDescent="0.25">
      <c r="A66" s="12" t="s">
        <v>210</v>
      </c>
      <c r="B66" s="12"/>
      <c r="C66" s="12"/>
      <c r="D66" s="21"/>
      <c r="E66" s="12"/>
      <c r="F66" s="12"/>
      <c r="G66" s="14"/>
      <c r="H66" s="15"/>
      <c r="I66" s="15">
        <f t="shared" si="0"/>
        <v>0</v>
      </c>
      <c r="J66" s="13"/>
    </row>
    <row r="67" spans="1:10" ht="12.5" x14ac:dyDescent="0.25">
      <c r="A67" s="12" t="s">
        <v>213</v>
      </c>
      <c r="B67" s="12"/>
      <c r="C67" s="12"/>
      <c r="D67" s="21"/>
      <c r="E67" s="12"/>
      <c r="F67" s="12"/>
      <c r="G67" s="14"/>
      <c r="H67" s="15"/>
      <c r="I67" s="15">
        <f t="shared" si="0"/>
        <v>0</v>
      </c>
      <c r="J67" s="13"/>
    </row>
    <row r="68" spans="1:10" ht="12.5" x14ac:dyDescent="0.25">
      <c r="A68" s="12" t="s">
        <v>216</v>
      </c>
      <c r="B68" s="12"/>
      <c r="C68" s="12"/>
      <c r="D68" s="21"/>
      <c r="E68" s="12"/>
      <c r="F68" s="12"/>
      <c r="G68" s="14"/>
      <c r="H68" s="15"/>
      <c r="I68" s="15">
        <f t="shared" si="0"/>
        <v>0</v>
      </c>
      <c r="J68" s="13"/>
    </row>
    <row r="69" spans="1:10" ht="12.5" x14ac:dyDescent="0.25">
      <c r="A69" s="12" t="s">
        <v>218</v>
      </c>
      <c r="B69" s="12"/>
      <c r="C69" s="12"/>
      <c r="D69" s="21"/>
      <c r="E69" s="12"/>
      <c r="F69" s="12"/>
      <c r="G69" s="14"/>
      <c r="H69" s="15"/>
      <c r="I69" s="15">
        <f t="shared" si="0"/>
        <v>0</v>
      </c>
      <c r="J69" s="13"/>
    </row>
    <row r="70" spans="1:10" ht="12.5" x14ac:dyDescent="0.25">
      <c r="A70" s="12" t="s">
        <v>221</v>
      </c>
      <c r="B70" s="12"/>
      <c r="C70" s="12"/>
      <c r="D70" s="21"/>
      <c r="E70" s="12"/>
      <c r="F70" s="12"/>
      <c r="G70" s="14"/>
      <c r="H70" s="15"/>
      <c r="I70" s="15">
        <f t="shared" si="0"/>
        <v>0</v>
      </c>
      <c r="J70" s="13"/>
    </row>
    <row r="71" spans="1:10" ht="12.5" x14ac:dyDescent="0.25">
      <c r="A71" s="12" t="s">
        <v>224</v>
      </c>
      <c r="B71" s="12"/>
      <c r="C71" s="12"/>
      <c r="D71" s="21"/>
      <c r="E71" s="12"/>
      <c r="F71" s="12"/>
      <c r="G71" s="14"/>
      <c r="H71" s="15"/>
      <c r="I71" s="15">
        <f t="shared" si="0"/>
        <v>0</v>
      </c>
      <c r="J71" s="13"/>
    </row>
    <row r="72" spans="1:10" ht="12.5" x14ac:dyDescent="0.25">
      <c r="A72" s="12" t="s">
        <v>226</v>
      </c>
      <c r="B72" s="12"/>
      <c r="C72" s="12"/>
      <c r="D72" s="21"/>
      <c r="E72" s="12"/>
      <c r="F72" s="12"/>
      <c r="G72" s="14"/>
      <c r="H72" s="15"/>
      <c r="I72" s="15">
        <f t="shared" si="0"/>
        <v>0</v>
      </c>
      <c r="J72" s="13"/>
    </row>
    <row r="73" spans="1:10" ht="12.5" x14ac:dyDescent="0.25">
      <c r="A73" s="12" t="s">
        <v>229</v>
      </c>
      <c r="B73" s="12"/>
      <c r="C73" s="12"/>
      <c r="D73" s="21"/>
      <c r="E73" s="12"/>
      <c r="F73" s="12"/>
      <c r="G73" s="14"/>
      <c r="H73" s="15"/>
      <c r="I73" s="15">
        <f t="shared" si="0"/>
        <v>0</v>
      </c>
      <c r="J73" s="13"/>
    </row>
    <row r="74" spans="1:10" ht="12.5" x14ac:dyDescent="0.25">
      <c r="A74" s="12" t="s">
        <v>232</v>
      </c>
      <c r="B74" s="12"/>
      <c r="C74" s="12"/>
      <c r="D74" s="21"/>
      <c r="E74" s="12"/>
      <c r="F74" s="12"/>
      <c r="G74" s="14"/>
      <c r="H74" s="15"/>
      <c r="I74" s="15">
        <f t="shared" si="0"/>
        <v>0</v>
      </c>
      <c r="J74" s="13"/>
    </row>
    <row r="75" spans="1:10" ht="12.5" x14ac:dyDescent="0.25">
      <c r="A75" s="12" t="s">
        <v>235</v>
      </c>
      <c r="B75" s="12"/>
      <c r="C75" s="12"/>
      <c r="D75" s="21"/>
      <c r="E75" s="12"/>
      <c r="F75" s="12"/>
      <c r="G75" s="14"/>
      <c r="H75" s="15"/>
      <c r="I75" s="15">
        <f t="shared" si="0"/>
        <v>0</v>
      </c>
      <c r="J75" s="13"/>
    </row>
    <row r="76" spans="1:10" ht="12.5" x14ac:dyDescent="0.25">
      <c r="A76" s="12" t="s">
        <v>238</v>
      </c>
      <c r="B76" s="12"/>
      <c r="C76" s="12"/>
      <c r="D76" s="21"/>
      <c r="E76" s="12"/>
      <c r="F76" s="12"/>
      <c r="G76" s="14"/>
      <c r="H76" s="15"/>
      <c r="I76" s="15">
        <f t="shared" si="0"/>
        <v>0</v>
      </c>
      <c r="J76" s="13"/>
    </row>
    <row r="77" spans="1:10" ht="12.5" x14ac:dyDescent="0.25">
      <c r="A77" s="12" t="s">
        <v>241</v>
      </c>
      <c r="B77" s="12"/>
      <c r="C77" s="12"/>
      <c r="D77" s="21"/>
      <c r="E77" s="12"/>
      <c r="F77" s="12"/>
      <c r="G77" s="14"/>
      <c r="H77" s="15"/>
      <c r="I77" s="15">
        <f t="shared" si="0"/>
        <v>0</v>
      </c>
      <c r="J77" s="13"/>
    </row>
    <row r="78" spans="1:10" ht="12.5" x14ac:dyDescent="0.25">
      <c r="A78" s="12" t="s">
        <v>244</v>
      </c>
      <c r="B78" s="12"/>
      <c r="C78" s="12"/>
      <c r="D78" s="21"/>
      <c r="E78" s="12"/>
      <c r="F78" s="12"/>
      <c r="G78" s="14"/>
      <c r="H78" s="15"/>
      <c r="I78" s="15">
        <f t="shared" si="0"/>
        <v>0</v>
      </c>
      <c r="J78" s="13"/>
    </row>
    <row r="79" spans="1:10" ht="12.5" x14ac:dyDescent="0.25">
      <c r="A79" s="12" t="s">
        <v>247</v>
      </c>
      <c r="B79" s="12"/>
      <c r="C79" s="12"/>
      <c r="D79" s="21"/>
      <c r="E79" s="12"/>
      <c r="F79" s="12"/>
      <c r="G79" s="14"/>
      <c r="H79" s="15"/>
      <c r="I79" s="15">
        <f t="shared" si="0"/>
        <v>0</v>
      </c>
      <c r="J79" s="13"/>
    </row>
    <row r="80" spans="1:10" ht="12.5" x14ac:dyDescent="0.25">
      <c r="A80" s="12" t="s">
        <v>250</v>
      </c>
      <c r="B80" s="12"/>
      <c r="C80" s="12"/>
      <c r="D80" s="21"/>
      <c r="E80" s="12"/>
      <c r="F80" s="12"/>
      <c r="G80" s="14"/>
      <c r="H80" s="15"/>
      <c r="I80" s="15">
        <f t="shared" si="0"/>
        <v>0</v>
      </c>
      <c r="J80" s="13"/>
    </row>
    <row r="81" spans="1:10" ht="12.5" x14ac:dyDescent="0.25">
      <c r="A81" s="12" t="s">
        <v>253</v>
      </c>
      <c r="B81" s="12"/>
      <c r="C81" s="12"/>
      <c r="D81" s="21"/>
      <c r="E81" s="12"/>
      <c r="F81" s="12"/>
      <c r="G81" s="14"/>
      <c r="H81" s="15"/>
      <c r="I81" s="15">
        <f t="shared" si="0"/>
        <v>0</v>
      </c>
      <c r="J81" s="13"/>
    </row>
    <row r="82" spans="1:10" ht="12.5" x14ac:dyDescent="0.25">
      <c r="A82" s="12" t="s">
        <v>256</v>
      </c>
      <c r="B82" s="12"/>
      <c r="C82" s="12"/>
      <c r="D82" s="21"/>
      <c r="E82" s="12"/>
      <c r="F82" s="12"/>
      <c r="G82" s="14"/>
      <c r="H82" s="15"/>
      <c r="I82" s="15">
        <f t="shared" si="0"/>
        <v>0</v>
      </c>
      <c r="J82" s="13"/>
    </row>
    <row r="83" spans="1:10" ht="12.5" x14ac:dyDescent="0.25">
      <c r="A83" s="12" t="s">
        <v>258</v>
      </c>
      <c r="B83" s="12"/>
      <c r="C83" s="12"/>
      <c r="D83" s="21"/>
      <c r="E83" s="12"/>
      <c r="F83" s="12"/>
      <c r="G83" s="14"/>
      <c r="H83" s="15"/>
      <c r="I83" s="15">
        <f t="shared" si="0"/>
        <v>0</v>
      </c>
      <c r="J83" s="13"/>
    </row>
    <row r="84" spans="1:10" ht="12.5" x14ac:dyDescent="0.25">
      <c r="A84" s="12" t="s">
        <v>261</v>
      </c>
      <c r="B84" s="12"/>
      <c r="C84" s="12"/>
      <c r="D84" s="21"/>
      <c r="E84" s="12"/>
      <c r="F84" s="12"/>
      <c r="G84" s="14"/>
      <c r="H84" s="15"/>
      <c r="I84" s="15">
        <f t="shared" si="0"/>
        <v>0</v>
      </c>
      <c r="J84" s="13"/>
    </row>
    <row r="85" spans="1:10" ht="12.5" x14ac:dyDescent="0.25">
      <c r="A85" s="12" t="s">
        <v>265</v>
      </c>
      <c r="B85" s="12"/>
      <c r="C85" s="12"/>
      <c r="D85" s="21"/>
      <c r="E85" s="12"/>
      <c r="F85" s="12"/>
      <c r="G85" s="14"/>
      <c r="H85" s="15"/>
      <c r="I85" s="15">
        <f t="shared" si="0"/>
        <v>0</v>
      </c>
      <c r="J85" s="13"/>
    </row>
    <row r="86" spans="1:10" ht="12.5" x14ac:dyDescent="0.25">
      <c r="A86" s="12" t="s">
        <v>266</v>
      </c>
      <c r="B86" s="12"/>
      <c r="C86" s="12"/>
      <c r="D86" s="21"/>
      <c r="E86" s="12"/>
      <c r="F86" s="12"/>
      <c r="G86" s="14"/>
      <c r="H86" s="15"/>
      <c r="I86" s="15">
        <f t="shared" si="0"/>
        <v>0</v>
      </c>
      <c r="J86" s="13"/>
    </row>
    <row r="87" spans="1:10" ht="12.5" x14ac:dyDescent="0.25">
      <c r="A87" s="12" t="s">
        <v>267</v>
      </c>
      <c r="B87" s="12"/>
      <c r="C87" s="12"/>
      <c r="D87" s="21"/>
      <c r="E87" s="12"/>
      <c r="F87" s="12"/>
      <c r="G87" s="14"/>
      <c r="H87" s="15"/>
      <c r="I87" s="15">
        <f t="shared" si="0"/>
        <v>0</v>
      </c>
      <c r="J87" s="13"/>
    </row>
    <row r="88" spans="1:10" ht="12.5" x14ac:dyDescent="0.25">
      <c r="A88" s="12" t="s">
        <v>268</v>
      </c>
      <c r="B88" s="12"/>
      <c r="C88" s="12"/>
      <c r="D88" s="21"/>
      <c r="E88" s="12"/>
      <c r="F88" s="12"/>
      <c r="G88" s="14"/>
      <c r="H88" s="15"/>
      <c r="I88" s="15">
        <f t="shared" si="0"/>
        <v>0</v>
      </c>
      <c r="J88" s="13"/>
    </row>
    <row r="89" spans="1:10" ht="12.5" x14ac:dyDescent="0.25">
      <c r="A89" s="12" t="s">
        <v>270</v>
      </c>
      <c r="B89" s="12"/>
      <c r="C89" s="12"/>
      <c r="D89" s="21"/>
      <c r="E89" s="12"/>
      <c r="F89" s="12"/>
      <c r="G89" s="14"/>
      <c r="H89" s="15"/>
      <c r="I89" s="15">
        <f t="shared" si="0"/>
        <v>0</v>
      </c>
      <c r="J89" s="13"/>
    </row>
    <row r="90" spans="1:10" ht="12.5" x14ac:dyDescent="0.25">
      <c r="A90" s="12" t="s">
        <v>271</v>
      </c>
      <c r="B90" s="12"/>
      <c r="C90" s="12"/>
      <c r="D90" s="21"/>
      <c r="E90" s="12"/>
      <c r="F90" s="12"/>
      <c r="G90" s="14"/>
      <c r="H90" s="15"/>
      <c r="I90" s="15">
        <f t="shared" si="0"/>
        <v>0</v>
      </c>
      <c r="J90" s="13"/>
    </row>
    <row r="91" spans="1:10" ht="12.5" x14ac:dyDescent="0.25">
      <c r="A91" s="12" t="s">
        <v>272</v>
      </c>
      <c r="B91" s="12"/>
      <c r="C91" s="12"/>
      <c r="D91" s="21"/>
      <c r="E91" s="12"/>
      <c r="F91" s="12"/>
      <c r="G91" s="14"/>
      <c r="H91" s="15"/>
      <c r="I91" s="15">
        <f t="shared" si="0"/>
        <v>0</v>
      </c>
      <c r="J91" s="13"/>
    </row>
    <row r="92" spans="1:10" ht="12.5" x14ac:dyDescent="0.25">
      <c r="A92" s="12" t="s">
        <v>273</v>
      </c>
      <c r="B92" s="12"/>
      <c r="C92" s="12"/>
      <c r="D92" s="13"/>
      <c r="E92" s="12"/>
      <c r="F92" s="12"/>
      <c r="G92" s="14"/>
      <c r="H92" s="15"/>
      <c r="I92" s="15">
        <f t="shared" si="0"/>
        <v>0</v>
      </c>
      <c r="J92" s="13"/>
    </row>
    <row r="93" spans="1:10" ht="12.5" x14ac:dyDescent="0.25">
      <c r="A93" s="12" t="s">
        <v>274</v>
      </c>
      <c r="B93" s="12"/>
      <c r="C93" s="12"/>
      <c r="D93" s="13"/>
      <c r="E93" s="12"/>
      <c r="F93" s="12"/>
      <c r="G93" s="14"/>
      <c r="H93" s="15"/>
      <c r="I93" s="15">
        <f t="shared" si="0"/>
        <v>0</v>
      </c>
      <c r="J93" s="13"/>
    </row>
    <row r="94" spans="1:10" ht="12.5" x14ac:dyDescent="0.25">
      <c r="A94" s="12" t="s">
        <v>275</v>
      </c>
      <c r="B94" s="12"/>
      <c r="C94" s="12"/>
      <c r="D94" s="13"/>
      <c r="E94" s="12"/>
      <c r="F94" s="12"/>
      <c r="G94" s="14"/>
      <c r="H94" s="15"/>
      <c r="I94" s="15">
        <f t="shared" si="0"/>
        <v>0</v>
      </c>
      <c r="J94" s="13"/>
    </row>
    <row r="95" spans="1:10" ht="12.5" x14ac:dyDescent="0.25">
      <c r="A95" s="12" t="s">
        <v>276</v>
      </c>
      <c r="B95" s="12"/>
      <c r="C95" s="12"/>
      <c r="D95" s="13"/>
      <c r="E95" s="12"/>
      <c r="F95" s="12"/>
      <c r="G95" s="14"/>
      <c r="H95" s="15"/>
      <c r="I95" s="15">
        <f t="shared" si="0"/>
        <v>0</v>
      </c>
      <c r="J95" s="13"/>
    </row>
    <row r="96" spans="1:10" ht="12.5" x14ac:dyDescent="0.25">
      <c r="A96" s="12" t="s">
        <v>277</v>
      </c>
      <c r="B96" s="12"/>
      <c r="C96" s="12"/>
      <c r="D96" s="13"/>
      <c r="E96" s="12"/>
      <c r="F96" s="12"/>
      <c r="G96" s="14"/>
      <c r="H96" s="15"/>
      <c r="I96" s="15">
        <f t="shared" si="0"/>
        <v>0</v>
      </c>
      <c r="J96" s="13"/>
    </row>
    <row r="97" spans="1:10" ht="12.5" x14ac:dyDescent="0.25">
      <c r="A97" s="12" t="s">
        <v>278</v>
      </c>
      <c r="B97" s="12"/>
      <c r="C97" s="12"/>
      <c r="D97" s="13"/>
      <c r="E97" s="12"/>
      <c r="F97" s="12"/>
      <c r="G97" s="14"/>
      <c r="H97" s="15"/>
      <c r="I97" s="15">
        <f t="shared" si="0"/>
        <v>0</v>
      </c>
      <c r="J97" s="13"/>
    </row>
    <row r="98" spans="1:10" ht="12.5" x14ac:dyDescent="0.25">
      <c r="A98" s="12" t="s">
        <v>279</v>
      </c>
      <c r="B98" s="12"/>
      <c r="C98" s="12"/>
      <c r="D98" s="13"/>
      <c r="E98" s="12"/>
      <c r="F98" s="12"/>
      <c r="G98" s="14"/>
      <c r="H98" s="15"/>
      <c r="I98" s="15">
        <f t="shared" si="0"/>
        <v>0</v>
      </c>
      <c r="J98" s="14"/>
    </row>
    <row r="99" spans="1:10" ht="12.5" x14ac:dyDescent="0.25">
      <c r="A99" s="12" t="s">
        <v>280</v>
      </c>
      <c r="B99" s="12"/>
      <c r="C99" s="12"/>
      <c r="D99" s="13"/>
      <c r="E99" s="12"/>
      <c r="F99" s="12"/>
      <c r="G99" s="14"/>
      <c r="H99" s="15"/>
      <c r="I99" s="15">
        <f t="shared" si="0"/>
        <v>0</v>
      </c>
      <c r="J99" s="13"/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>
        <f t="shared" si="0"/>
        <v>0</v>
      </c>
      <c r="J100" s="13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>
        <f t="shared" si="0"/>
        <v>0</v>
      </c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>
        <f t="shared" si="0"/>
        <v>0</v>
      </c>
      <c r="J102" s="13"/>
    </row>
    <row r="103" spans="1:10" ht="12.5" x14ac:dyDescent="0.25">
      <c r="A103" s="12" t="s">
        <v>284</v>
      </c>
      <c r="B103" s="12"/>
      <c r="C103" s="12"/>
      <c r="D103" s="13"/>
      <c r="E103" s="12"/>
      <c r="F103" s="12"/>
      <c r="G103" s="14"/>
      <c r="H103" s="15"/>
      <c r="I103" s="15">
        <f t="shared" si="0"/>
        <v>0</v>
      </c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>
        <f t="shared" si="0"/>
        <v>0</v>
      </c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0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0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0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0"/>
        <v>0</v>
      </c>
      <c r="J108" s="13"/>
    </row>
    <row r="109" spans="1:10" ht="12.5" x14ac:dyDescent="0.25">
      <c r="A109" s="12" t="s">
        <v>291</v>
      </c>
      <c r="B109" s="12"/>
      <c r="C109" s="12"/>
      <c r="D109" s="13"/>
      <c r="E109" s="12"/>
      <c r="F109" s="12"/>
      <c r="G109" s="14"/>
      <c r="H109" s="15"/>
      <c r="I109" s="15">
        <f t="shared" si="0"/>
        <v>0</v>
      </c>
      <c r="J109" s="13"/>
    </row>
    <row r="110" spans="1:10" ht="12.5" x14ac:dyDescent="0.25">
      <c r="A110" s="12" t="s">
        <v>292</v>
      </c>
      <c r="B110" s="12"/>
      <c r="C110" s="12"/>
      <c r="D110" s="13"/>
      <c r="E110" s="12"/>
      <c r="F110" s="12"/>
      <c r="G110" s="14"/>
      <c r="H110" s="15"/>
      <c r="I110" s="15">
        <f t="shared" si="0"/>
        <v>0</v>
      </c>
      <c r="J110" s="13"/>
    </row>
    <row r="111" spans="1:10" ht="12.5" x14ac:dyDescent="0.25">
      <c r="A111" s="12" t="s">
        <v>293</v>
      </c>
      <c r="B111" s="12"/>
      <c r="C111" s="12"/>
      <c r="D111" s="13"/>
      <c r="E111" s="12"/>
      <c r="F111" s="12"/>
      <c r="G111" s="14"/>
      <c r="H111" s="15"/>
      <c r="I111" s="15">
        <f t="shared" si="0"/>
        <v>0</v>
      </c>
      <c r="J111" s="13"/>
    </row>
    <row r="112" spans="1:10" ht="12.5" x14ac:dyDescent="0.25">
      <c r="A112" s="12" t="s">
        <v>294</v>
      </c>
      <c r="B112" s="12"/>
      <c r="C112" s="12"/>
      <c r="D112" s="13"/>
      <c r="E112" s="12"/>
      <c r="F112" s="12"/>
      <c r="G112" s="14"/>
      <c r="H112" s="15"/>
      <c r="I112" s="15">
        <f t="shared" si="0"/>
        <v>0</v>
      </c>
      <c r="J112" s="13"/>
    </row>
    <row r="113" spans="1:10" ht="12.5" x14ac:dyDescent="0.25">
      <c r="A113" s="12" t="s">
        <v>295</v>
      </c>
      <c r="B113" s="12"/>
      <c r="C113" s="12"/>
      <c r="D113" s="13"/>
      <c r="E113" s="12"/>
      <c r="F113" s="12"/>
      <c r="G113" s="14"/>
      <c r="H113" s="15"/>
      <c r="I113" s="15">
        <f t="shared" si="0"/>
        <v>0</v>
      </c>
      <c r="J113" s="13"/>
    </row>
    <row r="114" spans="1:10" ht="12.5" x14ac:dyDescent="0.25">
      <c r="A114" s="12" t="s">
        <v>296</v>
      </c>
      <c r="B114" s="12"/>
      <c r="C114" s="12"/>
      <c r="D114" s="13"/>
      <c r="E114" s="12"/>
      <c r="F114" s="12"/>
      <c r="G114" s="14"/>
      <c r="H114" s="15"/>
      <c r="I114" s="15">
        <f t="shared" si="0"/>
        <v>0</v>
      </c>
      <c r="J114" s="13"/>
    </row>
    <row r="115" spans="1:10" ht="12.5" x14ac:dyDescent="0.25">
      <c r="A115" s="12" t="s">
        <v>297</v>
      </c>
      <c r="B115" s="12"/>
      <c r="C115" s="12"/>
      <c r="D115" s="13"/>
      <c r="E115" s="12"/>
      <c r="F115" s="12"/>
      <c r="G115" s="14"/>
      <c r="H115" s="15"/>
      <c r="I115" s="15">
        <f t="shared" si="0"/>
        <v>0</v>
      </c>
      <c r="J115" s="13"/>
    </row>
    <row r="116" spans="1:10" ht="12.5" x14ac:dyDescent="0.25">
      <c r="A116" s="12" t="s">
        <v>298</v>
      </c>
      <c r="B116" s="12"/>
      <c r="C116" s="12"/>
      <c r="D116" s="13"/>
      <c r="E116" s="12"/>
      <c r="F116" s="12"/>
      <c r="G116" s="14"/>
      <c r="H116" s="15"/>
      <c r="I116" s="15">
        <f t="shared" si="0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0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4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2">
    <dataValidation type="list" allowBlank="1" showErrorMessage="1" sqref="E20:E194" xr:uid="{00000000-0002-0000-0400-000000000000}">
      <formula1>"One Time,Reccuring"</formula1>
    </dataValidation>
    <dataValidation type="list" allowBlank="1" showErrorMessage="1" sqref="P18 C20:C194" xr:uid="{00000000-0002-0000-0400-000001000000}">
      <formula1>"Stock Dagangan,Stock Bahan,Operational,Packing,Tenant,Gaji Karyawan,Team"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Revenue'!AL28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27734000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499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10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27734000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7977500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32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IFERROR(__xludf.DUMMYFUNCTION("filter(A20:J194,C20:C194=P18)"),"1")</f>
        <v>1</v>
      </c>
      <c r="O20" s="7">
        <f ca="1">IFERROR(__xludf.DUMMYFUNCTION("""COMPUTED_VALUE"""),1)</f>
        <v>1</v>
      </c>
      <c r="P20" s="7" t="str">
        <f ca="1">IFERROR(__xludf.DUMMYFUNCTION("""COMPUTED_VALUE"""),"Operational")</f>
        <v>Operational</v>
      </c>
      <c r="Q20" s="7" t="str">
        <f ca="1">IFERROR(__xludf.DUMMYFUNCTION("""COMPUTED_VALUE"""),"Sewa Toko")</f>
        <v>Sewa Toko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IFERROR(__xludf.DUMMYFUNCTION("""COMPUTED_VALUE"""),2000000)</f>
        <v>2000000</v>
      </c>
      <c r="V20" s="17">
        <f ca="1">IFERROR(__xludf.DUMMYFUNCTION("""COMPUTED_VALUE"""),2000000)</f>
        <v>2000000</v>
      </c>
      <c r="W20" s="7" t="str">
        <f ca="1">IFERROR(__xludf.DUMMYFUNCTION("""COMPUTED_VALUE"""),"Bu Sadya ")</f>
        <v xml:space="preserve">Bu Sadya 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IFERROR(__xludf.DUMMYFUNCTION("""COMPUTED_VALUE"""),"2")</f>
        <v>2</v>
      </c>
      <c r="O21" s="7">
        <f ca="1">IFERROR(__xludf.DUMMYFUNCTION("""COMPUTED_VALUE"""),1)</f>
        <v>1</v>
      </c>
      <c r="P21" s="7" t="str">
        <f ca="1">IFERROR(__xludf.DUMMYFUNCTION("""COMPUTED_VALUE"""),"Operational")</f>
        <v>Operational</v>
      </c>
      <c r="Q21" s="7" t="str">
        <f ca="1">IFERROR(__xludf.DUMMYFUNCTION("""COMPUTED_VALUE"""),"Canang Tisu DLL ")</f>
        <v xml:space="preserve">Canang Tisu DLL 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IFERROR(__xludf.DUMMYFUNCTION("""COMPUTED_VALUE"""),200000)</f>
        <v>200000</v>
      </c>
      <c r="V21" s="17">
        <f ca="1">IFERROR(__xludf.DUMMYFUNCTION("""COMPUTED_VALUE"""),200000)</f>
        <v>200000</v>
      </c>
      <c r="W21" s="7" t="str">
        <f ca="1">IFERROR(__xludf.DUMMYFUNCTION("""COMPUTED_VALUE"""),"Bopeas")</f>
        <v>Bopeas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IFERROR(__xludf.DUMMYFUNCTION("""COMPUTED_VALUE"""),"3")</f>
        <v>3</v>
      </c>
      <c r="O22" s="7">
        <f ca="1">IFERROR(__xludf.DUMMYFUNCTION("""COMPUTED_VALUE"""),1)</f>
        <v>1</v>
      </c>
      <c r="P22" s="7" t="str">
        <f ca="1">IFERROR(__xludf.DUMMYFUNCTION("""COMPUTED_VALUE"""),"Operational")</f>
        <v>Operational</v>
      </c>
      <c r="Q22" s="7" t="str">
        <f ca="1">IFERROR(__xludf.DUMMYFUNCTION("""COMPUTED_VALUE"""),"Banjar")</f>
        <v>Banjar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IFERROR(__xludf.DUMMYFUNCTION("""COMPUTED_VALUE"""),"bulan ")</f>
        <v xml:space="preserve">bulan </v>
      </c>
      <c r="U22" s="17">
        <f ca="1">IFERROR(__xludf.DUMMYFUNCTION("""COMPUTED_VALUE"""),30000)</f>
        <v>30000</v>
      </c>
      <c r="V22" s="17">
        <f ca="1">IFERROR(__xludf.DUMMYFUNCTION("""COMPUTED_VALUE"""),30000)</f>
        <v>30000</v>
      </c>
      <c r="W22" s="7" t="str">
        <f ca="1">IFERROR(__xludf.DUMMYFUNCTION("""COMPUTED_VALUE"""),"Banjar Gladag")</f>
        <v>Banjar Gladag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 t="str">
        <f ca="1">IFERROR(__xludf.DUMMYFUNCTION("""COMPUTED_VALUE"""),"4")</f>
        <v>4</v>
      </c>
      <c r="O23" s="7">
        <f ca="1">IFERROR(__xludf.DUMMYFUNCTION("""COMPUTED_VALUE"""),1)</f>
        <v>1</v>
      </c>
      <c r="P23" s="7" t="str">
        <f ca="1">IFERROR(__xludf.DUMMYFUNCTION("""COMPUTED_VALUE"""),"Operational")</f>
        <v>Operational</v>
      </c>
      <c r="Q23" s="7" t="str">
        <f ca="1">IFERROR(__xludf.DUMMYFUNCTION("""COMPUTED_VALUE"""),"Air PDAM")</f>
        <v>Air PDAM</v>
      </c>
      <c r="R23" s="7" t="str">
        <f ca="1">IFERROR(__xludf.DUMMYFUNCTION("""COMPUTED_VALUE"""),"Reccuring")</f>
        <v>Reccuring</v>
      </c>
      <c r="S23" s="7">
        <f ca="1">IFERROR(__xludf.DUMMYFUNCTION("""COMPUTED_VALUE"""),1)</f>
        <v>1</v>
      </c>
      <c r="T23" s="16" t="str">
        <f ca="1">IFERROR(__xludf.DUMMYFUNCTION("""COMPUTED_VALUE"""),"bulan ")</f>
        <v xml:space="preserve">bulan </v>
      </c>
      <c r="U23" s="17">
        <f ca="1">IFERROR(__xludf.DUMMYFUNCTION("""COMPUTED_VALUE"""),106500)</f>
        <v>106500</v>
      </c>
      <c r="V23" s="17">
        <f ca="1">IFERROR(__xludf.DUMMYFUNCTION("""COMPUTED_VALUE"""),106500)</f>
        <v>106500</v>
      </c>
      <c r="W23" s="7" t="str">
        <f ca="1">IFERROR(__xludf.DUMMYFUNCTION("""COMPUTED_VALUE"""),"PDAM")</f>
        <v>PDAM</v>
      </c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N24" s="7" t="str">
        <f ca="1">IFERROR(__xludf.DUMMYFUNCTION("""COMPUTED_VALUE"""),"5")</f>
        <v>5</v>
      </c>
      <c r="O24" s="7">
        <f ca="1">IFERROR(__xludf.DUMMYFUNCTION("""COMPUTED_VALUE"""),1)</f>
        <v>1</v>
      </c>
      <c r="P24" s="7" t="str">
        <f ca="1">IFERROR(__xludf.DUMMYFUNCTION("""COMPUTED_VALUE"""),"Operational")</f>
        <v>Operational</v>
      </c>
      <c r="Q24" s="7" t="str">
        <f ca="1">IFERROR(__xludf.DUMMYFUNCTION("""COMPUTED_VALUE"""),"Wifi")</f>
        <v>Wifi</v>
      </c>
      <c r="R24" s="7" t="str">
        <f ca="1">IFERROR(__xludf.DUMMYFUNCTION("""COMPUTED_VALUE"""),"Reccuring")</f>
        <v>Reccuring</v>
      </c>
      <c r="S24" s="7">
        <f ca="1">IFERROR(__xludf.DUMMYFUNCTION("""COMPUTED_VALUE"""),1)</f>
        <v>1</v>
      </c>
      <c r="T24" s="16" t="str">
        <f ca="1">IFERROR(__xludf.DUMMYFUNCTION("""COMPUTED_VALUE"""),"bulan ")</f>
        <v xml:space="preserve">bulan </v>
      </c>
      <c r="U24" s="17">
        <f ca="1">IFERROR(__xludf.DUMMYFUNCTION("""COMPUTED_VALUE"""),170000)</f>
        <v>170000</v>
      </c>
      <c r="V24" s="17">
        <f ca="1">IFERROR(__xludf.DUMMYFUNCTION("""COMPUTED_VALUE"""),170000)</f>
        <v>170000</v>
      </c>
      <c r="W24" s="7" t="str">
        <f ca="1">IFERROR(__xludf.DUMMYFUNCTION("""COMPUTED_VALUE"""),"Indihome ")</f>
        <v xml:space="preserve">Indihome </v>
      </c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N25" s="7" t="str">
        <f ca="1">IFERROR(__xludf.DUMMYFUNCTION("""COMPUTED_VALUE"""),"6")</f>
        <v>6</v>
      </c>
      <c r="O25" s="7">
        <f ca="1">IFERROR(__xludf.DUMMYFUNCTION("""COMPUTED_VALUE"""),1)</f>
        <v>1</v>
      </c>
      <c r="P25" s="7" t="str">
        <f ca="1">IFERROR(__xludf.DUMMYFUNCTION("""COMPUTED_VALUE"""),"Operational")</f>
        <v>Operational</v>
      </c>
      <c r="Q25" s="7" t="str">
        <f ca="1">IFERROR(__xludf.DUMMYFUNCTION("""COMPUTED_VALUE"""),"Listrik ")</f>
        <v xml:space="preserve">Listrik </v>
      </c>
      <c r="R25" s="7" t="str">
        <f ca="1">IFERROR(__xludf.DUMMYFUNCTION("""COMPUTED_VALUE"""),"Reccuring")</f>
        <v>Reccuring</v>
      </c>
      <c r="S25" s="7">
        <f ca="1">IFERROR(__xludf.DUMMYFUNCTION("""COMPUTED_VALUE"""),1)</f>
        <v>1</v>
      </c>
      <c r="T25" s="16" t="str">
        <f ca="1">IFERROR(__xludf.DUMMYFUNCTION("""COMPUTED_VALUE"""),"bulan ")</f>
        <v xml:space="preserve">bulan </v>
      </c>
      <c r="U25" s="17">
        <f ca="1">IFERROR(__xludf.DUMMYFUNCTION("""COMPUTED_VALUE"""),100000)</f>
        <v>100000</v>
      </c>
      <c r="V25" s="17">
        <f ca="1">IFERROR(__xludf.DUMMYFUNCTION("""COMPUTED_VALUE"""),100000)</f>
        <v>100000</v>
      </c>
      <c r="W25" s="7" t="str">
        <f ca="1">IFERROR(__xludf.DUMMYFUNCTION("""COMPUTED_VALUE"""),"PLN")</f>
        <v>PLN</v>
      </c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2153000</v>
      </c>
      <c r="I26" s="15">
        <f t="shared" si="0"/>
        <v>2153000</v>
      </c>
      <c r="J26" s="13" t="s">
        <v>37</v>
      </c>
      <c r="N26" s="7" t="str">
        <f ca="1">IFERROR(__xludf.DUMMYFUNCTION("""COMPUTED_VALUE"""),"7")</f>
        <v>7</v>
      </c>
      <c r="O26" s="7">
        <f ca="1">IFERROR(__xludf.DUMMYFUNCTION("""COMPUTED_VALUE"""),1)</f>
        <v>1</v>
      </c>
      <c r="P26" s="7" t="str">
        <f ca="1">IFERROR(__xludf.DUMMYFUNCTION("""COMPUTED_VALUE"""),"Operational")</f>
        <v>Operational</v>
      </c>
      <c r="Q26" s="7" t="str">
        <f ca="1">IFERROR(__xludf.DUMMYFUNCTION("""COMPUTED_VALUE"""),"Gaji Store + THR")</f>
        <v>Gaji Store + THR</v>
      </c>
      <c r="R26" s="7" t="str">
        <f ca="1">IFERROR(__xludf.DUMMYFUNCTION("""COMPUTED_VALUE"""),"Reccuring")</f>
        <v>Reccuring</v>
      </c>
      <c r="S26" s="7">
        <f ca="1">IFERROR(__xludf.DUMMYFUNCTION("""COMPUTED_VALUE"""),1)</f>
        <v>1</v>
      </c>
      <c r="T26" s="16" t="str">
        <f ca="1">IFERROR(__xludf.DUMMYFUNCTION("""COMPUTED_VALUE"""),"bulan ")</f>
        <v xml:space="preserve">bulan </v>
      </c>
      <c r="U26" s="17">
        <f ca="1">IFERROR(__xludf.DUMMYFUNCTION("""COMPUTED_VALUE"""),2153000)</f>
        <v>2153000</v>
      </c>
      <c r="V26" s="17">
        <f ca="1">IFERROR(__xludf.DUMMYFUNCTION("""COMPUTED_VALUE"""),2153000)</f>
        <v>2153000</v>
      </c>
      <c r="W26" s="7" t="str">
        <f ca="1">IFERROR(__xludf.DUMMYFUNCTION("""COMPUTED_VALUE"""),"Ilmi ")</f>
        <v xml:space="preserve">Ilmi </v>
      </c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2103000</v>
      </c>
      <c r="I27" s="15">
        <f t="shared" si="0"/>
        <v>2103000</v>
      </c>
      <c r="J27" s="13" t="s">
        <v>38</v>
      </c>
      <c r="N27" s="7" t="str">
        <f ca="1">IFERROR(__xludf.DUMMYFUNCTION("""COMPUTED_VALUE"""),"8")</f>
        <v>8</v>
      </c>
      <c r="O27" s="7">
        <f ca="1">IFERROR(__xludf.DUMMYFUNCTION("""COMPUTED_VALUE"""),1)</f>
        <v>1</v>
      </c>
      <c r="P27" s="7" t="str">
        <f ca="1">IFERROR(__xludf.DUMMYFUNCTION("""COMPUTED_VALUE"""),"Operational")</f>
        <v>Operational</v>
      </c>
      <c r="Q27" s="7" t="str">
        <f ca="1">IFERROR(__xludf.DUMMYFUNCTION("""COMPUTED_VALUE"""),"Gaji Store + THR")</f>
        <v>Gaji Store + THR</v>
      </c>
      <c r="R27" s="7" t="str">
        <f ca="1">IFERROR(__xludf.DUMMYFUNCTION("""COMPUTED_VALUE"""),"Reccuring")</f>
        <v>Reccuring</v>
      </c>
      <c r="S27" s="7">
        <f ca="1">IFERROR(__xludf.DUMMYFUNCTION("""COMPUTED_VALUE"""),1)</f>
        <v>1</v>
      </c>
      <c r="T27" s="16" t="str">
        <f ca="1">IFERROR(__xludf.DUMMYFUNCTION("""COMPUTED_VALUE"""),"bulan ")</f>
        <v xml:space="preserve">bulan </v>
      </c>
      <c r="U27" s="17">
        <f ca="1">IFERROR(__xludf.DUMMYFUNCTION("""COMPUTED_VALUE"""),2103000)</f>
        <v>2103000</v>
      </c>
      <c r="V27" s="17">
        <f ca="1">IFERROR(__xludf.DUMMYFUNCTION("""COMPUTED_VALUE"""),2103000)</f>
        <v>2103000</v>
      </c>
      <c r="W27" s="7" t="str">
        <f ca="1">IFERROR(__xludf.DUMMYFUNCTION("""COMPUTED_VALUE"""),"Erni")</f>
        <v>Erni</v>
      </c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3</v>
      </c>
      <c r="G28" s="14" t="s">
        <v>23</v>
      </c>
      <c r="H28" s="15">
        <v>40000</v>
      </c>
      <c r="I28" s="15">
        <f t="shared" si="0"/>
        <v>120000</v>
      </c>
      <c r="J28" s="13" t="s">
        <v>41</v>
      </c>
      <c r="N28" s="7" t="str">
        <f ca="1">IFERROR(__xludf.DUMMYFUNCTION("""COMPUTED_VALUE"""),"9")</f>
        <v>9</v>
      </c>
      <c r="O28" s="7">
        <f ca="1">IFERROR(__xludf.DUMMYFUNCTION("""COMPUTED_VALUE"""),1)</f>
        <v>1</v>
      </c>
      <c r="P28" s="7" t="str">
        <f ca="1">IFERROR(__xludf.DUMMYFUNCTION("""COMPUTED_VALUE"""),"Operational")</f>
        <v>Operational</v>
      </c>
      <c r="Q28" s="7" t="str">
        <f ca="1">IFERROR(__xludf.DUMMYFUNCTION("""COMPUTED_VALUE"""),"CFD")</f>
        <v>CFD</v>
      </c>
      <c r="R28" s="7" t="str">
        <f ca="1">IFERROR(__xludf.DUMMYFUNCTION("""COMPUTED_VALUE"""),"Reccuring")</f>
        <v>Reccuring</v>
      </c>
      <c r="S28" s="7">
        <f ca="1">IFERROR(__xludf.DUMMYFUNCTION("""COMPUTED_VALUE"""),3)</f>
        <v>3</v>
      </c>
      <c r="T28" s="16" t="str">
        <f ca="1">IFERROR(__xludf.DUMMYFUNCTION("""COMPUTED_VALUE"""),"bulan ")</f>
        <v xml:space="preserve">bulan </v>
      </c>
      <c r="U28" s="17">
        <f ca="1">IFERROR(__xludf.DUMMYFUNCTION("""COMPUTED_VALUE"""),40000)</f>
        <v>40000</v>
      </c>
      <c r="V28" s="17">
        <f ca="1">IFERROR(__xludf.DUMMYFUNCTION("""COMPUTED_VALUE"""),120000)</f>
        <v>120000</v>
      </c>
      <c r="W28" s="7" t="str">
        <f ca="1">IFERROR(__xludf.DUMMYFUNCTION("""COMPUTED_VALUE"""),"Bayar CFD ")</f>
        <v xml:space="preserve">Bayar CFD </v>
      </c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3</v>
      </c>
      <c r="G29" s="14" t="s">
        <v>23</v>
      </c>
      <c r="H29" s="15">
        <v>50000</v>
      </c>
      <c r="I29" s="15">
        <f t="shared" si="0"/>
        <v>150000</v>
      </c>
      <c r="J29" s="13" t="s">
        <v>43</v>
      </c>
      <c r="N29" s="7" t="str">
        <f ca="1">IFERROR(__xludf.DUMMYFUNCTION("""COMPUTED_VALUE"""),"10")</f>
        <v>10</v>
      </c>
      <c r="O29" s="7">
        <f ca="1">IFERROR(__xludf.DUMMYFUNCTION("""COMPUTED_VALUE"""),1)</f>
        <v>1</v>
      </c>
      <c r="P29" s="7" t="str">
        <f ca="1">IFERROR(__xludf.DUMMYFUNCTION("""COMPUTED_VALUE"""),"Operational")</f>
        <v>Operational</v>
      </c>
      <c r="Q29" s="7" t="str">
        <f ca="1">IFERROR(__xludf.DUMMYFUNCTION("""COMPUTED_VALUE"""),"Transportasi ")</f>
        <v xml:space="preserve">Transportasi </v>
      </c>
      <c r="R29" s="7" t="str">
        <f ca="1">IFERROR(__xludf.DUMMYFUNCTION("""COMPUTED_VALUE"""),"Reccuring")</f>
        <v>Reccuring</v>
      </c>
      <c r="S29" s="7">
        <f ca="1">IFERROR(__xludf.DUMMYFUNCTION("""COMPUTED_VALUE"""),3)</f>
        <v>3</v>
      </c>
      <c r="T29" s="16" t="str">
        <f ca="1">IFERROR(__xludf.DUMMYFUNCTION("""COMPUTED_VALUE"""),"bulan ")</f>
        <v xml:space="preserve">bulan </v>
      </c>
      <c r="U29" s="17">
        <f ca="1">IFERROR(__xludf.DUMMYFUNCTION("""COMPUTED_VALUE"""),50000)</f>
        <v>50000</v>
      </c>
      <c r="V29" s="17">
        <f ca="1">IFERROR(__xludf.DUMMYFUNCTION("""COMPUTED_VALUE"""),150000)</f>
        <v>150000</v>
      </c>
      <c r="W29" s="7" t="str">
        <f ca="1">IFERROR(__xludf.DUMMYFUNCTION("""COMPUTED_VALUE"""),"KIMI")</f>
        <v>KIMI</v>
      </c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1</v>
      </c>
      <c r="G30" s="14" t="s">
        <v>23</v>
      </c>
      <c r="H30" s="15">
        <v>65000</v>
      </c>
      <c r="I30" s="15">
        <f t="shared" si="0"/>
        <v>65000</v>
      </c>
      <c r="J30" s="13" t="s">
        <v>44</v>
      </c>
      <c r="N30" s="7" t="str">
        <f ca="1">IFERROR(__xludf.DUMMYFUNCTION("""COMPUTED_VALUE"""),"11")</f>
        <v>11</v>
      </c>
      <c r="O30" s="7">
        <f ca="1">IFERROR(__xludf.DUMMYFUNCTION("""COMPUTED_VALUE"""),1)</f>
        <v>1</v>
      </c>
      <c r="P30" s="7" t="str">
        <f ca="1">IFERROR(__xludf.DUMMYFUNCTION("""COMPUTED_VALUE"""),"Operational")</f>
        <v>Operational</v>
      </c>
      <c r="Q30" s="7" t="str">
        <f ca="1">IFERROR(__xludf.DUMMYFUNCTION("""COMPUTED_VALUE"""),"Gaji CFD")</f>
        <v>Gaji CFD</v>
      </c>
      <c r="R30" s="7" t="str">
        <f ca="1">IFERROR(__xludf.DUMMYFUNCTION("""COMPUTED_VALUE"""),"Reccuring")</f>
        <v>Reccuring</v>
      </c>
      <c r="S30" s="7">
        <f ca="1">IFERROR(__xludf.DUMMYFUNCTION("""COMPUTED_VALUE"""),1)</f>
        <v>1</v>
      </c>
      <c r="T30" s="16" t="str">
        <f ca="1">IFERROR(__xludf.DUMMYFUNCTION("""COMPUTED_VALUE"""),"bulan ")</f>
        <v xml:space="preserve">bulan </v>
      </c>
      <c r="U30" s="17">
        <f ca="1">IFERROR(__xludf.DUMMYFUNCTION("""COMPUTED_VALUE"""),65000)</f>
        <v>65000</v>
      </c>
      <c r="V30" s="17">
        <f ca="1">IFERROR(__xludf.DUMMYFUNCTION("""COMPUTED_VALUE"""),65000)</f>
        <v>65000</v>
      </c>
      <c r="W30" s="7" t="str">
        <f ca="1">IFERROR(__xludf.DUMMYFUNCTION("""COMPUTED_VALUE"""),"Gaji CFD")</f>
        <v>Gaji CFD</v>
      </c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N31" s="7" t="str">
        <f ca="1">IFERROR(__xludf.DUMMYFUNCTION("""COMPUTED_VALUE"""),"12")</f>
        <v>12</v>
      </c>
      <c r="O31" s="7">
        <f ca="1">IFERROR(__xludf.DUMMYFUNCTION("""COMPUTED_VALUE"""),1)</f>
        <v>1</v>
      </c>
      <c r="P31" s="7" t="str">
        <f ca="1">IFERROR(__xludf.DUMMYFUNCTION("""COMPUTED_VALUE"""),"Operational")</f>
        <v>Operational</v>
      </c>
      <c r="Q31" s="7" t="str">
        <f ca="1">IFERROR(__xludf.DUMMYFUNCTION("""COMPUTED_VALUE"""),"Kasir  Majoo ")</f>
        <v xml:space="preserve">Kasir  Majoo </v>
      </c>
      <c r="R31" s="7" t="str">
        <f ca="1">IFERROR(__xludf.DUMMYFUNCTION("""COMPUTED_VALUE"""),"Reccuring")</f>
        <v>Reccuring</v>
      </c>
      <c r="S31" s="7">
        <f ca="1">IFERROR(__xludf.DUMMYFUNCTION("""COMPUTED_VALUE"""),1)</f>
        <v>1</v>
      </c>
      <c r="T31" s="16" t="str">
        <f ca="1">IFERROR(__xludf.DUMMYFUNCTION("""COMPUTED_VALUE"""),"bulan ")</f>
        <v xml:space="preserve">bulan </v>
      </c>
      <c r="U31" s="17">
        <f ca="1">IFERROR(__xludf.DUMMYFUNCTION("""COMPUTED_VALUE"""),100000)</f>
        <v>100000</v>
      </c>
      <c r="V31" s="17">
        <f ca="1">IFERROR(__xludf.DUMMYFUNCTION("""COMPUTED_VALUE"""),100000)</f>
        <v>100000</v>
      </c>
      <c r="W31" s="7" t="str">
        <f ca="1">IFERROR(__xludf.DUMMYFUNCTION("""COMPUTED_VALUE"""),"Kasir Majoo ")</f>
        <v xml:space="preserve">Kasir Majoo </v>
      </c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N32" s="7" t="str">
        <f ca="1">IFERROR(__xludf.DUMMYFUNCTION("""COMPUTED_VALUE"""),"13")</f>
        <v>13</v>
      </c>
      <c r="O32" s="7">
        <f ca="1">IFERROR(__xludf.DUMMYFUNCTION("""COMPUTED_VALUE"""),1)</f>
        <v>1</v>
      </c>
      <c r="P32" s="7" t="str">
        <f ca="1">IFERROR(__xludf.DUMMYFUNCTION("""COMPUTED_VALUE"""),"Operational")</f>
        <v>Operational</v>
      </c>
      <c r="Q32" s="7" t="str">
        <f ca="1">IFERROR(__xludf.DUMMYFUNCTION("""COMPUTED_VALUE"""),"Tabungan Galungan ")</f>
        <v xml:space="preserve">Tabungan Galungan </v>
      </c>
      <c r="R32" s="7" t="str">
        <f ca="1">IFERROR(__xludf.DUMMYFUNCTION("""COMPUTED_VALUE"""),"Reccuring")</f>
        <v>Reccuring</v>
      </c>
      <c r="S32" s="7">
        <f ca="1">IFERROR(__xludf.DUMMYFUNCTION("""COMPUTED_VALUE"""),1)</f>
        <v>1</v>
      </c>
      <c r="T32" s="16" t="str">
        <f ca="1">IFERROR(__xludf.DUMMYFUNCTION("""COMPUTED_VALUE"""),"bulan ")</f>
        <v xml:space="preserve">bulan </v>
      </c>
      <c r="U32" s="17">
        <f ca="1">IFERROR(__xludf.DUMMYFUNCTION("""COMPUTED_VALUE"""),300000)</f>
        <v>300000</v>
      </c>
      <c r="V32" s="17">
        <f ca="1">IFERROR(__xludf.DUMMYFUNCTION("""COMPUTED_VALUE"""),300000)</f>
        <v>300000</v>
      </c>
      <c r="W32" s="7" t="str">
        <f ca="1">IFERROR(__xludf.DUMMYFUNCTION("""COMPUTED_VALUE"""),"Tabungan ")</f>
        <v xml:space="preserve">Tabungan </v>
      </c>
    </row>
    <row r="33" spans="1:23" ht="12.5" x14ac:dyDescent="0.25">
      <c r="A33" s="12" t="s">
        <v>127</v>
      </c>
      <c r="B33" s="12">
        <v>1</v>
      </c>
      <c r="C33" s="12" t="s">
        <v>51</v>
      </c>
      <c r="D33" s="21" t="s">
        <v>500</v>
      </c>
      <c r="E33" s="12" t="s">
        <v>22</v>
      </c>
      <c r="F33" s="12">
        <v>1</v>
      </c>
      <c r="G33" s="14" t="s">
        <v>23</v>
      </c>
      <c r="H33" s="15">
        <v>133000</v>
      </c>
      <c r="I33" s="15">
        <v>133000</v>
      </c>
      <c r="J33" s="13" t="s">
        <v>58</v>
      </c>
      <c r="N33" s="7" t="str">
        <f ca="1">IFERROR(__xludf.DUMMYFUNCTION("""COMPUTED_VALUE"""),"27")</f>
        <v>27</v>
      </c>
      <c r="O33" s="7">
        <f ca="1">IFERROR(__xludf.DUMMYFUNCTION("""COMPUTED_VALUE"""),14)</f>
        <v>14</v>
      </c>
      <c r="P33" s="7" t="str">
        <f ca="1">IFERROR(__xludf.DUMMYFUNCTION("""COMPUTED_VALUE"""),"Operational")</f>
        <v>Operational</v>
      </c>
      <c r="Q33" s="7" t="str">
        <f ca="1">IFERROR(__xludf.DUMMYFUNCTION("""COMPUTED_VALUE"""),"Parfum ruangan ")</f>
        <v xml:space="preserve">Parfum ruangan </v>
      </c>
      <c r="R33" s="7" t="str">
        <f ca="1">IFERROR(__xludf.DUMMYFUNCTION("""COMPUTED_VALUE"""),"Reccuring")</f>
        <v>Reccuring</v>
      </c>
      <c r="S33" s="7">
        <f ca="1">IFERROR(__xludf.DUMMYFUNCTION("""COMPUTED_VALUE"""),1)</f>
        <v>1</v>
      </c>
      <c r="T33" s="16" t="str">
        <f ca="1">IFERROR(__xludf.DUMMYFUNCTION("""COMPUTED_VALUE"""),"bulan ")</f>
        <v xml:space="preserve">bulan </v>
      </c>
      <c r="U33" s="17">
        <f ca="1">IFERROR(__xludf.DUMMYFUNCTION("""COMPUTED_VALUE"""),100000)</f>
        <v>100000</v>
      </c>
      <c r="V33" s="17">
        <f ca="1">IFERROR(__xludf.DUMMYFUNCTION("""COMPUTED_VALUE"""),100000)</f>
        <v>100000</v>
      </c>
      <c r="W33" s="7" t="str">
        <f ca="1">IFERROR(__xludf.DUMMYFUNCTION("""COMPUTED_VALUE"""),"Amigo")</f>
        <v>Amigo</v>
      </c>
    </row>
    <row r="34" spans="1:23" ht="12.5" x14ac:dyDescent="0.25">
      <c r="A34" s="12" t="s">
        <v>128</v>
      </c>
      <c r="B34" s="12">
        <v>1</v>
      </c>
      <c r="C34" s="12" t="s">
        <v>51</v>
      </c>
      <c r="D34" s="21" t="s">
        <v>535</v>
      </c>
      <c r="E34" s="12" t="s">
        <v>22</v>
      </c>
      <c r="F34" s="12">
        <v>1</v>
      </c>
      <c r="G34" s="14" t="s">
        <v>23</v>
      </c>
      <c r="H34" s="15">
        <v>325000</v>
      </c>
      <c r="I34" s="15">
        <v>325000</v>
      </c>
      <c r="J34" s="13" t="s">
        <v>536</v>
      </c>
      <c r="N34" s="7" t="str">
        <f ca="1">IFERROR(__xludf.DUMMYFUNCTION("""COMPUTED_VALUE"""),"33")</f>
        <v>33</v>
      </c>
      <c r="O34" s="7">
        <f ca="1">IFERROR(__xludf.DUMMYFUNCTION("""COMPUTED_VALUE"""),20)</f>
        <v>20</v>
      </c>
      <c r="P34" s="7" t="str">
        <f ca="1">IFERROR(__xludf.DUMMYFUNCTION("""COMPUTED_VALUE"""),"Operational")</f>
        <v>Operational</v>
      </c>
      <c r="Q34" s="7" t="str">
        <f ca="1">IFERROR(__xludf.DUMMYFUNCTION("""COMPUTED_VALUE"""),"Tempat Bunga dan Nampan ")</f>
        <v xml:space="preserve">Tempat Bunga dan Nampan </v>
      </c>
      <c r="R34" s="7" t="str">
        <f ca="1">IFERROR(__xludf.DUMMYFUNCTION("""COMPUTED_VALUE"""),"One Time")</f>
        <v>One Time</v>
      </c>
      <c r="S34" s="7">
        <f ca="1">IFERROR(__xludf.DUMMYFUNCTION("""COMPUTED_VALUE"""),1)</f>
        <v>1</v>
      </c>
      <c r="T34" s="16" t="str">
        <f ca="1">IFERROR(__xludf.DUMMYFUNCTION("""COMPUTED_VALUE"""),"bulan ")</f>
        <v xml:space="preserve">bulan </v>
      </c>
      <c r="U34" s="17">
        <f ca="1">IFERROR(__xludf.DUMMYFUNCTION("""COMPUTED_VALUE"""),75000)</f>
        <v>75000</v>
      </c>
      <c r="V34" s="17">
        <f ca="1">IFERROR(__xludf.DUMMYFUNCTION("""COMPUTED_VALUE"""),75000)</f>
        <v>75000</v>
      </c>
      <c r="W34" s="7" t="str">
        <f ca="1">IFERROR(__xludf.DUMMYFUNCTION("""COMPUTED_VALUE"""),"Energi Grosir")</f>
        <v>Energi Grosir</v>
      </c>
    </row>
    <row r="35" spans="1:23" ht="12.5" x14ac:dyDescent="0.25">
      <c r="A35" s="12" t="s">
        <v>129</v>
      </c>
      <c r="B35" s="12">
        <v>1</v>
      </c>
      <c r="C35" s="12" t="s">
        <v>39</v>
      </c>
      <c r="D35" s="21" t="s">
        <v>537</v>
      </c>
      <c r="E35" s="12" t="s">
        <v>68</v>
      </c>
      <c r="F35" s="12">
        <v>1</v>
      </c>
      <c r="G35" s="14" t="s">
        <v>23</v>
      </c>
      <c r="H35" s="15">
        <v>750000</v>
      </c>
      <c r="I35" s="15">
        <f t="shared" ref="I35:I194" si="1">F35*H35</f>
        <v>750000</v>
      </c>
      <c r="J35" s="13" t="s">
        <v>538</v>
      </c>
      <c r="N35" s="7" t="str">
        <f ca="1">IFERROR(__xludf.DUMMYFUNCTION("""COMPUTED_VALUE"""),"51")</f>
        <v>51</v>
      </c>
      <c r="O35" s="7">
        <f ca="1">IFERROR(__xludf.DUMMYFUNCTION("""COMPUTED_VALUE"""),6)</f>
        <v>6</v>
      </c>
      <c r="P35" s="7" t="str">
        <f ca="1">IFERROR(__xludf.DUMMYFUNCTION("""COMPUTED_VALUE"""),"Operational")</f>
        <v>Operational</v>
      </c>
      <c r="Q35" s="7" t="str">
        <f ca="1">IFERROR(__xludf.DUMMYFUNCTION("""COMPUTED_VALUE"""),"Kotak P3k")</f>
        <v>Kotak P3k</v>
      </c>
      <c r="R35" s="7" t="str">
        <f ca="1">IFERROR(__xludf.DUMMYFUNCTION("""COMPUTED_VALUE"""),"One Time")</f>
        <v>One Time</v>
      </c>
      <c r="S35" s="7">
        <f ca="1">IFERROR(__xludf.DUMMYFUNCTION("""COMPUTED_VALUE"""),1)</f>
        <v>1</v>
      </c>
      <c r="T35" s="16" t="str">
        <f ca="1">IFERROR(__xludf.DUMMYFUNCTION("""COMPUTED_VALUE"""),"pack")</f>
        <v>pack</v>
      </c>
      <c r="U35" s="17">
        <f ca="1">IFERROR(__xludf.DUMMYFUNCTION("""COMPUTED_VALUE"""),65000)</f>
        <v>65000</v>
      </c>
      <c r="V35" s="17">
        <f ca="1">IFERROR(__xludf.DUMMYFUNCTION("""COMPUTED_VALUE"""),65000)</f>
        <v>65000</v>
      </c>
      <c r="W35" s="7" t="str">
        <f ca="1">IFERROR(__xludf.DUMMYFUNCTION("""COMPUTED_VALUE"""),"Revinit Medical")</f>
        <v>Revinit Medical</v>
      </c>
    </row>
    <row r="36" spans="1:23" ht="12.5" x14ac:dyDescent="0.25">
      <c r="A36" s="12" t="s">
        <v>127</v>
      </c>
      <c r="B36" s="12">
        <v>1</v>
      </c>
      <c r="C36" s="12" t="s">
        <v>39</v>
      </c>
      <c r="D36" s="21" t="s">
        <v>539</v>
      </c>
      <c r="E36" s="12" t="s">
        <v>68</v>
      </c>
      <c r="F36" s="12">
        <v>1</v>
      </c>
      <c r="G36" s="14" t="s">
        <v>23</v>
      </c>
      <c r="H36" s="15">
        <v>120000</v>
      </c>
      <c r="I36" s="15">
        <f t="shared" si="1"/>
        <v>120000</v>
      </c>
      <c r="J36" s="13" t="s">
        <v>539</v>
      </c>
      <c r="N36" s="7" t="str">
        <f ca="1">IFERROR(__xludf.DUMMYFUNCTION("""COMPUTED_VALUE"""),"53")</f>
        <v>53</v>
      </c>
      <c r="O36" s="7">
        <f ca="1">IFERROR(__xludf.DUMMYFUNCTION("""COMPUTED_VALUE"""),7)</f>
        <v>7</v>
      </c>
      <c r="P36" s="7" t="str">
        <f ca="1">IFERROR(__xludf.DUMMYFUNCTION("""COMPUTED_VALUE"""),"Operational")</f>
        <v>Operational</v>
      </c>
      <c r="Q36" s="7" t="str">
        <f ca="1">IFERROR(__xludf.DUMMYFUNCTION("""COMPUTED_VALUE"""),"Gantungan ")</f>
        <v xml:space="preserve">Gantungan </v>
      </c>
      <c r="R36" s="7" t="str">
        <f ca="1">IFERROR(__xludf.DUMMYFUNCTION("""COMPUTED_VALUE"""),"One Time")</f>
        <v>One Time</v>
      </c>
      <c r="S36" s="7">
        <f ca="1">IFERROR(__xludf.DUMMYFUNCTION("""COMPUTED_VALUE"""),1)</f>
        <v>1</v>
      </c>
      <c r="T36" s="16" t="str">
        <f ca="1">IFERROR(__xludf.DUMMYFUNCTION("""COMPUTED_VALUE"""),"pack")</f>
        <v>pack</v>
      </c>
      <c r="U36" s="16">
        <f ca="1">IFERROR(__xludf.DUMMYFUNCTION("""COMPUTED_VALUE"""),140000)</f>
        <v>140000</v>
      </c>
      <c r="V36" s="16">
        <f ca="1">IFERROR(__xludf.DUMMYFUNCTION("""COMPUTED_VALUE"""),140000)</f>
        <v>140000</v>
      </c>
      <c r="W36" s="7" t="str">
        <f ca="1">IFERROR(__xludf.DUMMYFUNCTION("""COMPUTED_VALUE"""),"Nekoda Official Store")</f>
        <v>Nekoda Official Store</v>
      </c>
    </row>
    <row r="37" spans="1:23" ht="12.5" x14ac:dyDescent="0.25">
      <c r="A37" s="12" t="s">
        <v>128</v>
      </c>
      <c r="B37" s="12">
        <v>1</v>
      </c>
      <c r="C37" s="12" t="s">
        <v>262</v>
      </c>
      <c r="D37" s="21" t="s">
        <v>540</v>
      </c>
      <c r="E37" s="12" t="s">
        <v>68</v>
      </c>
      <c r="F37" s="12">
        <v>1</v>
      </c>
      <c r="G37" s="14" t="s">
        <v>23</v>
      </c>
      <c r="H37" s="15">
        <v>160000</v>
      </c>
      <c r="I37" s="15">
        <f t="shared" si="1"/>
        <v>160000</v>
      </c>
      <c r="J37" s="13" t="s">
        <v>541</v>
      </c>
    </row>
    <row r="38" spans="1:23" ht="12.5" x14ac:dyDescent="0.25">
      <c r="A38" s="12" t="s">
        <v>129</v>
      </c>
      <c r="B38" s="12">
        <v>1</v>
      </c>
      <c r="C38" s="12" t="s">
        <v>35</v>
      </c>
      <c r="D38" s="21" t="s">
        <v>542</v>
      </c>
      <c r="E38" s="12" t="s">
        <v>68</v>
      </c>
      <c r="F38" s="12">
        <v>1</v>
      </c>
      <c r="G38" s="14" t="s">
        <v>23</v>
      </c>
      <c r="H38" s="15">
        <v>240000</v>
      </c>
      <c r="I38" s="15">
        <f t="shared" si="1"/>
        <v>240000</v>
      </c>
      <c r="J38" s="13" t="s">
        <v>543</v>
      </c>
    </row>
    <row r="39" spans="1:23" ht="12.5" x14ac:dyDescent="0.25">
      <c r="A39" s="12" t="s">
        <v>138</v>
      </c>
      <c r="B39" s="12">
        <v>13</v>
      </c>
      <c r="C39" s="12" t="s">
        <v>51</v>
      </c>
      <c r="D39" s="21" t="s">
        <v>544</v>
      </c>
      <c r="E39" s="12" t="s">
        <v>22</v>
      </c>
      <c r="F39" s="12">
        <v>1</v>
      </c>
      <c r="G39" s="14" t="s">
        <v>23</v>
      </c>
      <c r="H39" s="15">
        <v>175000</v>
      </c>
      <c r="I39" s="15">
        <f t="shared" si="1"/>
        <v>175000</v>
      </c>
      <c r="J39" s="13" t="s">
        <v>545</v>
      </c>
    </row>
    <row r="40" spans="1:23" ht="12.5" x14ac:dyDescent="0.25">
      <c r="A40" s="12" t="s">
        <v>141</v>
      </c>
      <c r="B40" s="12">
        <v>13</v>
      </c>
      <c r="C40" s="12" t="s">
        <v>51</v>
      </c>
      <c r="D40" s="21" t="s">
        <v>546</v>
      </c>
      <c r="E40" s="12" t="s">
        <v>22</v>
      </c>
      <c r="F40" s="12">
        <v>1</v>
      </c>
      <c r="G40" s="14" t="s">
        <v>23</v>
      </c>
      <c r="H40" s="15">
        <v>1042500</v>
      </c>
      <c r="I40" s="15">
        <f t="shared" si="1"/>
        <v>1042500</v>
      </c>
      <c r="J40" s="13" t="s">
        <v>547</v>
      </c>
    </row>
    <row r="41" spans="1:23" ht="12.5" x14ac:dyDescent="0.25">
      <c r="A41" s="12" t="s">
        <v>144</v>
      </c>
      <c r="B41" s="12">
        <v>13</v>
      </c>
      <c r="C41" s="12" t="s">
        <v>51</v>
      </c>
      <c r="D41" s="21" t="s">
        <v>548</v>
      </c>
      <c r="E41" s="12" t="s">
        <v>22</v>
      </c>
      <c r="F41" s="12">
        <v>1</v>
      </c>
      <c r="G41" s="14" t="s">
        <v>23</v>
      </c>
      <c r="H41" s="15">
        <v>263000</v>
      </c>
      <c r="I41" s="15">
        <f t="shared" si="1"/>
        <v>263000</v>
      </c>
      <c r="J41" s="13" t="s">
        <v>549</v>
      </c>
    </row>
    <row r="42" spans="1:23" ht="12.5" x14ac:dyDescent="0.25">
      <c r="A42" s="12" t="s">
        <v>147</v>
      </c>
      <c r="B42" s="12">
        <v>13</v>
      </c>
      <c r="C42" s="12" t="s">
        <v>51</v>
      </c>
      <c r="D42" s="21" t="s">
        <v>550</v>
      </c>
      <c r="E42" s="12" t="s">
        <v>22</v>
      </c>
      <c r="F42" s="12">
        <v>1</v>
      </c>
      <c r="G42" s="14" t="s">
        <v>23</v>
      </c>
      <c r="H42" s="15">
        <v>360000</v>
      </c>
      <c r="I42" s="15">
        <f t="shared" si="1"/>
        <v>360000</v>
      </c>
      <c r="J42" s="13" t="s">
        <v>551</v>
      </c>
    </row>
    <row r="43" spans="1:23" ht="12.5" x14ac:dyDescent="0.25">
      <c r="A43" s="12" t="s">
        <v>150</v>
      </c>
      <c r="B43" s="12">
        <v>13</v>
      </c>
      <c r="C43" s="12" t="s">
        <v>51</v>
      </c>
      <c r="D43" s="21" t="s">
        <v>544</v>
      </c>
      <c r="E43" s="12" t="s">
        <v>22</v>
      </c>
      <c r="F43" s="12">
        <v>1</v>
      </c>
      <c r="G43" s="14" t="s">
        <v>23</v>
      </c>
      <c r="H43" s="15">
        <v>210000</v>
      </c>
      <c r="I43" s="15">
        <f t="shared" si="1"/>
        <v>210000</v>
      </c>
      <c r="J43" s="13" t="s">
        <v>552</v>
      </c>
    </row>
    <row r="44" spans="1:23" ht="12.5" x14ac:dyDescent="0.25">
      <c r="A44" s="12" t="s">
        <v>153</v>
      </c>
      <c r="B44" s="12">
        <v>13</v>
      </c>
      <c r="C44" s="12" t="s">
        <v>51</v>
      </c>
      <c r="D44" s="21" t="s">
        <v>544</v>
      </c>
      <c r="E44" s="12" t="s">
        <v>22</v>
      </c>
      <c r="F44" s="12">
        <v>1</v>
      </c>
      <c r="G44" s="14" t="s">
        <v>23</v>
      </c>
      <c r="H44" s="15">
        <v>210000</v>
      </c>
      <c r="I44" s="15">
        <f t="shared" si="1"/>
        <v>210000</v>
      </c>
      <c r="J44" s="13" t="s">
        <v>553</v>
      </c>
    </row>
    <row r="45" spans="1:23" ht="12.5" x14ac:dyDescent="0.25">
      <c r="A45" s="12" t="s">
        <v>156</v>
      </c>
      <c r="B45" s="12">
        <v>13</v>
      </c>
      <c r="C45" s="12" t="s">
        <v>262</v>
      </c>
      <c r="D45" s="21" t="s">
        <v>554</v>
      </c>
      <c r="E45" s="12" t="s">
        <v>68</v>
      </c>
      <c r="F45" s="12">
        <v>1</v>
      </c>
      <c r="G45" s="14" t="s">
        <v>23</v>
      </c>
      <c r="H45" s="15">
        <v>150000</v>
      </c>
      <c r="I45" s="15">
        <f t="shared" si="1"/>
        <v>150000</v>
      </c>
      <c r="J45" s="13" t="s">
        <v>555</v>
      </c>
    </row>
    <row r="46" spans="1:23" ht="12.5" x14ac:dyDescent="0.25">
      <c r="A46" s="12" t="s">
        <v>158</v>
      </c>
      <c r="B46" s="12">
        <v>14</v>
      </c>
      <c r="C46" s="12" t="s">
        <v>10</v>
      </c>
      <c r="D46" s="21" t="s">
        <v>556</v>
      </c>
      <c r="E46" s="12" t="s">
        <v>22</v>
      </c>
      <c r="F46" s="12">
        <v>1</v>
      </c>
      <c r="G46" s="14" t="s">
        <v>23</v>
      </c>
      <c r="H46" s="15">
        <v>100000</v>
      </c>
      <c r="I46" s="15">
        <f t="shared" si="1"/>
        <v>100000</v>
      </c>
      <c r="J46" s="13" t="s">
        <v>557</v>
      </c>
    </row>
    <row r="47" spans="1:23" ht="12.5" x14ac:dyDescent="0.25">
      <c r="A47" s="12" t="s">
        <v>161</v>
      </c>
      <c r="B47" s="12">
        <v>20</v>
      </c>
      <c r="C47" s="12" t="s">
        <v>262</v>
      </c>
      <c r="D47" s="21" t="s">
        <v>558</v>
      </c>
      <c r="E47" s="12" t="s">
        <v>68</v>
      </c>
      <c r="F47" s="12">
        <v>1</v>
      </c>
      <c r="G47" s="14" t="s">
        <v>23</v>
      </c>
      <c r="H47" s="15">
        <v>577000</v>
      </c>
      <c r="I47" s="15">
        <f t="shared" si="1"/>
        <v>577000</v>
      </c>
      <c r="J47" s="13" t="s">
        <v>559</v>
      </c>
    </row>
    <row r="48" spans="1:23" ht="12.5" x14ac:dyDescent="0.25">
      <c r="A48" s="12" t="s">
        <v>164</v>
      </c>
      <c r="B48" s="12">
        <v>20</v>
      </c>
      <c r="C48" s="12" t="s">
        <v>83</v>
      </c>
      <c r="D48" s="21" t="s">
        <v>560</v>
      </c>
      <c r="E48" s="12" t="s">
        <v>22</v>
      </c>
      <c r="F48" s="12">
        <v>1</v>
      </c>
      <c r="G48" s="14" t="s">
        <v>23</v>
      </c>
      <c r="H48" s="15">
        <v>40000</v>
      </c>
      <c r="I48" s="15">
        <f t="shared" si="1"/>
        <v>40000</v>
      </c>
      <c r="J48" s="13" t="s">
        <v>561</v>
      </c>
    </row>
    <row r="49" spans="1:10" ht="12.5" x14ac:dyDescent="0.25">
      <c r="A49" s="12" t="s">
        <v>166</v>
      </c>
      <c r="B49" s="12">
        <v>20</v>
      </c>
      <c r="C49" s="12" t="s">
        <v>83</v>
      </c>
      <c r="D49" s="21" t="s">
        <v>562</v>
      </c>
      <c r="E49" s="12" t="s">
        <v>22</v>
      </c>
      <c r="F49" s="12">
        <v>1</v>
      </c>
      <c r="G49" s="14" t="s">
        <v>23</v>
      </c>
      <c r="H49" s="15">
        <v>140000</v>
      </c>
      <c r="I49" s="15">
        <f t="shared" si="1"/>
        <v>140000</v>
      </c>
      <c r="J49" s="13" t="s">
        <v>561</v>
      </c>
    </row>
    <row r="50" spans="1:10" ht="12.5" x14ac:dyDescent="0.25">
      <c r="A50" s="12" t="s">
        <v>169</v>
      </c>
      <c r="B50" s="12">
        <v>20</v>
      </c>
      <c r="C50" s="12" t="s">
        <v>262</v>
      </c>
      <c r="D50" s="21" t="s">
        <v>301</v>
      </c>
      <c r="E50" s="12" t="s">
        <v>68</v>
      </c>
      <c r="F50" s="12">
        <v>1</v>
      </c>
      <c r="G50" s="14" t="s">
        <v>23</v>
      </c>
      <c r="H50" s="15">
        <v>900000</v>
      </c>
      <c r="I50" s="15">
        <f t="shared" si="1"/>
        <v>900000</v>
      </c>
      <c r="J50" s="13" t="s">
        <v>559</v>
      </c>
    </row>
    <row r="51" spans="1:10" ht="12.5" x14ac:dyDescent="0.25">
      <c r="A51" s="12" t="s">
        <v>171</v>
      </c>
      <c r="B51" s="12">
        <v>20</v>
      </c>
      <c r="C51" s="12" t="s">
        <v>73</v>
      </c>
      <c r="D51" s="21" t="s">
        <v>563</v>
      </c>
      <c r="E51" s="12" t="s">
        <v>22</v>
      </c>
      <c r="F51" s="12">
        <v>1</v>
      </c>
      <c r="G51" s="14" t="s">
        <v>23</v>
      </c>
      <c r="H51" s="15">
        <v>90000</v>
      </c>
      <c r="I51" s="15">
        <f t="shared" si="1"/>
        <v>90000</v>
      </c>
      <c r="J51" s="13" t="s">
        <v>252</v>
      </c>
    </row>
    <row r="52" spans="1:10" ht="12.5" x14ac:dyDescent="0.25">
      <c r="A52" s="12" t="s">
        <v>172</v>
      </c>
      <c r="B52" s="12">
        <v>20</v>
      </c>
      <c r="C52" s="12" t="s">
        <v>10</v>
      </c>
      <c r="D52" s="21" t="s">
        <v>564</v>
      </c>
      <c r="E52" s="12" t="s">
        <v>68</v>
      </c>
      <c r="F52" s="12">
        <v>1</v>
      </c>
      <c r="G52" s="14" t="s">
        <v>23</v>
      </c>
      <c r="H52" s="15">
        <v>75000</v>
      </c>
      <c r="I52" s="15">
        <f t="shared" si="1"/>
        <v>75000</v>
      </c>
      <c r="J52" s="13" t="s">
        <v>565</v>
      </c>
    </row>
    <row r="53" spans="1:10" ht="12.5" x14ac:dyDescent="0.25">
      <c r="A53" s="12" t="s">
        <v>175</v>
      </c>
      <c r="B53" s="12">
        <v>20</v>
      </c>
      <c r="C53" s="12" t="s">
        <v>73</v>
      </c>
      <c r="D53" s="21" t="s">
        <v>566</v>
      </c>
      <c r="E53" s="12" t="s">
        <v>22</v>
      </c>
      <c r="F53" s="12">
        <v>1</v>
      </c>
      <c r="G53" s="14" t="s">
        <v>23</v>
      </c>
      <c r="H53" s="15">
        <v>96000</v>
      </c>
      <c r="I53" s="15">
        <f t="shared" si="1"/>
        <v>96000</v>
      </c>
      <c r="J53" s="13" t="s">
        <v>252</v>
      </c>
    </row>
    <row r="54" spans="1:10" ht="12.5" x14ac:dyDescent="0.25">
      <c r="A54" s="12" t="s">
        <v>178</v>
      </c>
      <c r="B54" s="12">
        <v>20</v>
      </c>
      <c r="C54" s="12" t="s">
        <v>83</v>
      </c>
      <c r="D54" s="21" t="s">
        <v>567</v>
      </c>
      <c r="E54" s="12" t="s">
        <v>22</v>
      </c>
      <c r="F54" s="12">
        <v>1</v>
      </c>
      <c r="G54" s="14" t="s">
        <v>23</v>
      </c>
      <c r="H54" s="15">
        <v>432000</v>
      </c>
      <c r="I54" s="15">
        <f t="shared" si="1"/>
        <v>432000</v>
      </c>
      <c r="J54" s="13" t="s">
        <v>71</v>
      </c>
    </row>
    <row r="55" spans="1:10" ht="12.5" x14ac:dyDescent="0.25">
      <c r="A55" s="12" t="s">
        <v>181</v>
      </c>
      <c r="B55" s="12">
        <v>20</v>
      </c>
      <c r="C55" s="12" t="s">
        <v>83</v>
      </c>
      <c r="D55" s="21" t="s">
        <v>568</v>
      </c>
      <c r="E55" s="12" t="s">
        <v>22</v>
      </c>
      <c r="F55" s="12">
        <v>1</v>
      </c>
      <c r="G55" s="14" t="s">
        <v>23</v>
      </c>
      <c r="H55" s="15">
        <v>50000</v>
      </c>
      <c r="I55" s="15">
        <f t="shared" si="1"/>
        <v>50000</v>
      </c>
      <c r="J55" s="13" t="s">
        <v>569</v>
      </c>
    </row>
    <row r="56" spans="1:10" ht="12.5" x14ac:dyDescent="0.25">
      <c r="A56" s="12" t="s">
        <v>183</v>
      </c>
      <c r="B56" s="12">
        <v>21</v>
      </c>
      <c r="C56" s="12" t="s">
        <v>73</v>
      </c>
      <c r="D56" s="21" t="s">
        <v>570</v>
      </c>
      <c r="E56" s="12" t="s">
        <v>22</v>
      </c>
      <c r="F56" s="12">
        <v>1</v>
      </c>
      <c r="G56" s="14" t="s">
        <v>23</v>
      </c>
      <c r="H56" s="15">
        <v>33000</v>
      </c>
      <c r="I56" s="15">
        <f t="shared" si="1"/>
        <v>33000</v>
      </c>
      <c r="J56" s="13" t="s">
        <v>571</v>
      </c>
    </row>
    <row r="57" spans="1:10" ht="12.5" x14ac:dyDescent="0.25">
      <c r="A57" s="12" t="s">
        <v>186</v>
      </c>
      <c r="B57" s="12">
        <v>22</v>
      </c>
      <c r="C57" s="12" t="s">
        <v>83</v>
      </c>
      <c r="D57" s="21" t="s">
        <v>548</v>
      </c>
      <c r="E57" s="12" t="s">
        <v>22</v>
      </c>
      <c r="F57" s="12">
        <v>1</v>
      </c>
      <c r="G57" s="14" t="s">
        <v>23</v>
      </c>
      <c r="H57" s="15">
        <v>80000</v>
      </c>
      <c r="I57" s="15">
        <f t="shared" si="1"/>
        <v>80000</v>
      </c>
      <c r="J57" s="13" t="s">
        <v>549</v>
      </c>
    </row>
    <row r="58" spans="1:10" ht="12.5" x14ac:dyDescent="0.25">
      <c r="A58" s="12" t="s">
        <v>189</v>
      </c>
      <c r="B58" s="12">
        <v>26</v>
      </c>
      <c r="C58" s="12" t="s">
        <v>262</v>
      </c>
      <c r="D58" s="21" t="s">
        <v>572</v>
      </c>
      <c r="E58" s="12" t="s">
        <v>68</v>
      </c>
      <c r="F58" s="12">
        <v>1</v>
      </c>
      <c r="G58" s="14" t="s">
        <v>23</v>
      </c>
      <c r="H58" s="15">
        <v>300000</v>
      </c>
      <c r="I58" s="15">
        <f t="shared" si="1"/>
        <v>300000</v>
      </c>
      <c r="J58" s="13" t="s">
        <v>573</v>
      </c>
    </row>
    <row r="59" spans="1:10" ht="12.5" x14ac:dyDescent="0.25">
      <c r="A59" s="12" t="s">
        <v>191</v>
      </c>
      <c r="B59" s="12">
        <v>26</v>
      </c>
      <c r="C59" s="12" t="s">
        <v>262</v>
      </c>
      <c r="D59" s="21" t="s">
        <v>574</v>
      </c>
      <c r="E59" s="12" t="s">
        <v>68</v>
      </c>
      <c r="F59" s="12">
        <v>1</v>
      </c>
      <c r="G59" s="14" t="s">
        <v>133</v>
      </c>
      <c r="H59" s="15">
        <v>500000</v>
      </c>
      <c r="I59" s="15">
        <f t="shared" si="1"/>
        <v>500000</v>
      </c>
      <c r="J59" s="13" t="s">
        <v>574</v>
      </c>
    </row>
    <row r="60" spans="1:10" ht="12.5" x14ac:dyDescent="0.25">
      <c r="A60" s="12" t="s">
        <v>194</v>
      </c>
      <c r="B60" s="12">
        <v>26</v>
      </c>
      <c r="C60" s="12" t="s">
        <v>73</v>
      </c>
      <c r="D60" s="21" t="s">
        <v>570</v>
      </c>
      <c r="E60" s="12" t="s">
        <v>22</v>
      </c>
      <c r="F60" s="12">
        <v>1</v>
      </c>
      <c r="G60" s="14" t="s">
        <v>133</v>
      </c>
      <c r="H60" s="15">
        <v>80000</v>
      </c>
      <c r="I60" s="15">
        <f t="shared" si="1"/>
        <v>80000</v>
      </c>
      <c r="J60" s="13" t="s">
        <v>575</v>
      </c>
    </row>
    <row r="61" spans="1:10" ht="12.5" x14ac:dyDescent="0.25">
      <c r="A61" s="12" t="s">
        <v>197</v>
      </c>
      <c r="B61" s="12">
        <v>1</v>
      </c>
      <c r="C61" s="12" t="s">
        <v>51</v>
      </c>
      <c r="D61" s="21" t="s">
        <v>576</v>
      </c>
      <c r="E61" s="12" t="s">
        <v>22</v>
      </c>
      <c r="F61" s="12">
        <v>1</v>
      </c>
      <c r="G61" s="14" t="s">
        <v>133</v>
      </c>
      <c r="H61" s="15">
        <v>750000</v>
      </c>
      <c r="I61" s="15">
        <f t="shared" si="1"/>
        <v>750000</v>
      </c>
      <c r="J61" s="13" t="s">
        <v>577</v>
      </c>
    </row>
    <row r="62" spans="1:10" ht="12.5" x14ac:dyDescent="0.25">
      <c r="A62" s="12" t="s">
        <v>199</v>
      </c>
      <c r="B62" s="12">
        <v>2</v>
      </c>
      <c r="C62" s="12" t="s">
        <v>51</v>
      </c>
      <c r="D62" s="21" t="s">
        <v>578</v>
      </c>
      <c r="E62" s="12" t="s">
        <v>68</v>
      </c>
      <c r="F62" s="12">
        <v>1</v>
      </c>
      <c r="G62" s="14" t="s">
        <v>133</v>
      </c>
      <c r="H62" s="15">
        <v>465000</v>
      </c>
      <c r="I62" s="15">
        <f t="shared" si="1"/>
        <v>465000</v>
      </c>
      <c r="J62" s="13" t="s">
        <v>579</v>
      </c>
    </row>
    <row r="63" spans="1:10" ht="12.5" x14ac:dyDescent="0.25">
      <c r="A63" s="12" t="s">
        <v>202</v>
      </c>
      <c r="B63" s="12">
        <v>3</v>
      </c>
      <c r="C63" s="12" t="s">
        <v>51</v>
      </c>
      <c r="D63" s="21" t="s">
        <v>345</v>
      </c>
      <c r="E63" s="12" t="s">
        <v>22</v>
      </c>
      <c r="F63" s="12">
        <v>1</v>
      </c>
      <c r="G63" s="14" t="s">
        <v>133</v>
      </c>
      <c r="H63" s="15">
        <v>480000</v>
      </c>
      <c r="I63" s="15">
        <f t="shared" si="1"/>
        <v>480000</v>
      </c>
      <c r="J63" s="13" t="s">
        <v>580</v>
      </c>
    </row>
    <row r="64" spans="1:10" ht="12.5" x14ac:dyDescent="0.25">
      <c r="A64" s="12" t="s">
        <v>205</v>
      </c>
      <c r="B64" s="12">
        <v>3</v>
      </c>
      <c r="C64" s="12" t="s">
        <v>83</v>
      </c>
      <c r="D64" s="21" t="s">
        <v>581</v>
      </c>
      <c r="E64" s="12" t="s">
        <v>22</v>
      </c>
      <c r="F64" s="12">
        <v>1</v>
      </c>
      <c r="G64" s="14" t="s">
        <v>133</v>
      </c>
      <c r="H64" s="15">
        <v>40000</v>
      </c>
      <c r="I64" s="15">
        <f t="shared" si="1"/>
        <v>40000</v>
      </c>
      <c r="J64" s="13" t="s">
        <v>582</v>
      </c>
    </row>
    <row r="65" spans="1:10" ht="12.5" x14ac:dyDescent="0.25">
      <c r="A65" s="12" t="s">
        <v>207</v>
      </c>
      <c r="B65" s="12">
        <v>3</v>
      </c>
      <c r="C65" s="12" t="s">
        <v>51</v>
      </c>
      <c r="D65" s="21" t="s">
        <v>583</v>
      </c>
      <c r="E65" s="12" t="s">
        <v>22</v>
      </c>
      <c r="F65" s="12">
        <v>1</v>
      </c>
      <c r="G65" s="14" t="s">
        <v>133</v>
      </c>
      <c r="H65" s="15">
        <v>470000</v>
      </c>
      <c r="I65" s="15">
        <f t="shared" si="1"/>
        <v>470000</v>
      </c>
      <c r="J65" s="13" t="s">
        <v>584</v>
      </c>
    </row>
    <row r="66" spans="1:10" ht="12.5" x14ac:dyDescent="0.25">
      <c r="A66" s="12" t="s">
        <v>210</v>
      </c>
      <c r="B66" s="12">
        <v>3</v>
      </c>
      <c r="C66" s="12" t="s">
        <v>51</v>
      </c>
      <c r="D66" s="21" t="s">
        <v>585</v>
      </c>
      <c r="E66" s="12" t="s">
        <v>22</v>
      </c>
      <c r="F66" s="12">
        <v>1</v>
      </c>
      <c r="G66" s="14" t="s">
        <v>133</v>
      </c>
      <c r="H66" s="15">
        <v>85000</v>
      </c>
      <c r="I66" s="15">
        <f t="shared" si="1"/>
        <v>85000</v>
      </c>
      <c r="J66" s="13" t="s">
        <v>586</v>
      </c>
    </row>
    <row r="67" spans="1:10" ht="12.5" x14ac:dyDescent="0.25">
      <c r="A67" s="12" t="s">
        <v>213</v>
      </c>
      <c r="B67" s="12">
        <v>3</v>
      </c>
      <c r="C67" s="12" t="s">
        <v>51</v>
      </c>
      <c r="D67" s="21" t="s">
        <v>357</v>
      </c>
      <c r="E67" s="12" t="s">
        <v>22</v>
      </c>
      <c r="F67" s="12">
        <v>1</v>
      </c>
      <c r="G67" s="14" t="s">
        <v>133</v>
      </c>
      <c r="H67" s="15">
        <v>200000</v>
      </c>
      <c r="I67" s="15">
        <f t="shared" si="1"/>
        <v>200000</v>
      </c>
      <c r="J67" s="13" t="s">
        <v>587</v>
      </c>
    </row>
    <row r="68" spans="1:10" ht="12.5" x14ac:dyDescent="0.25">
      <c r="A68" s="12" t="s">
        <v>216</v>
      </c>
      <c r="B68" s="12">
        <v>4</v>
      </c>
      <c r="C68" s="12" t="s">
        <v>51</v>
      </c>
      <c r="D68" s="21" t="s">
        <v>588</v>
      </c>
      <c r="E68" s="12" t="s">
        <v>22</v>
      </c>
      <c r="F68" s="12">
        <v>1</v>
      </c>
      <c r="G68" s="14" t="s">
        <v>133</v>
      </c>
      <c r="H68" s="15">
        <v>205000</v>
      </c>
      <c r="I68" s="15">
        <f t="shared" si="1"/>
        <v>205000</v>
      </c>
      <c r="J68" s="13" t="s">
        <v>351</v>
      </c>
    </row>
    <row r="69" spans="1:10" ht="12.5" x14ac:dyDescent="0.25">
      <c r="A69" s="12" t="s">
        <v>218</v>
      </c>
      <c r="B69" s="12">
        <v>6</v>
      </c>
      <c r="C69" s="12" t="s">
        <v>51</v>
      </c>
      <c r="D69" s="21" t="s">
        <v>589</v>
      </c>
      <c r="E69" s="12" t="s">
        <v>22</v>
      </c>
      <c r="F69" s="12">
        <v>1</v>
      </c>
      <c r="G69" s="14" t="s">
        <v>133</v>
      </c>
      <c r="H69" s="15">
        <v>85000</v>
      </c>
      <c r="I69" s="15">
        <f t="shared" si="1"/>
        <v>85000</v>
      </c>
      <c r="J69" s="13" t="s">
        <v>579</v>
      </c>
    </row>
    <row r="70" spans="1:10" ht="12.5" x14ac:dyDescent="0.25">
      <c r="A70" s="12" t="s">
        <v>221</v>
      </c>
      <c r="B70" s="12">
        <v>6</v>
      </c>
      <c r="C70" s="12" t="s">
        <v>10</v>
      </c>
      <c r="D70" s="21" t="s">
        <v>590</v>
      </c>
      <c r="E70" s="12" t="s">
        <v>68</v>
      </c>
      <c r="F70" s="12">
        <v>1</v>
      </c>
      <c r="G70" s="14" t="s">
        <v>133</v>
      </c>
      <c r="H70" s="15">
        <v>65000</v>
      </c>
      <c r="I70" s="15">
        <f t="shared" si="1"/>
        <v>65000</v>
      </c>
      <c r="J70" s="13" t="s">
        <v>591</v>
      </c>
    </row>
    <row r="71" spans="1:10" ht="12.5" x14ac:dyDescent="0.25">
      <c r="A71" s="12" t="s">
        <v>224</v>
      </c>
      <c r="B71" s="12">
        <v>7</v>
      </c>
      <c r="C71" s="12" t="s">
        <v>83</v>
      </c>
      <c r="D71" s="21" t="s">
        <v>592</v>
      </c>
      <c r="E71" s="12" t="s">
        <v>22</v>
      </c>
      <c r="F71" s="12">
        <v>1</v>
      </c>
      <c r="G71" s="14" t="s">
        <v>133</v>
      </c>
      <c r="H71" s="15">
        <v>120000</v>
      </c>
      <c r="I71" s="15">
        <f t="shared" si="1"/>
        <v>120000</v>
      </c>
      <c r="J71" s="13" t="s">
        <v>143</v>
      </c>
    </row>
    <row r="72" spans="1:10" ht="12.5" x14ac:dyDescent="0.25">
      <c r="A72" s="12" t="s">
        <v>226</v>
      </c>
      <c r="B72" s="12">
        <v>7</v>
      </c>
      <c r="C72" s="12" t="s">
        <v>10</v>
      </c>
      <c r="D72" s="21" t="s">
        <v>593</v>
      </c>
      <c r="E72" s="12" t="s">
        <v>68</v>
      </c>
      <c r="F72" s="12">
        <v>1</v>
      </c>
      <c r="G72" s="14" t="s">
        <v>133</v>
      </c>
      <c r="H72" s="15">
        <v>140000</v>
      </c>
      <c r="I72" s="15">
        <f t="shared" si="1"/>
        <v>140000</v>
      </c>
      <c r="J72" s="13" t="s">
        <v>594</v>
      </c>
    </row>
    <row r="73" spans="1:10" ht="12.5" x14ac:dyDescent="0.25">
      <c r="A73" s="12" t="s">
        <v>229</v>
      </c>
      <c r="B73" s="12">
        <v>9</v>
      </c>
      <c r="C73" s="12" t="s">
        <v>51</v>
      </c>
      <c r="D73" s="21" t="s">
        <v>595</v>
      </c>
      <c r="E73" s="12" t="s">
        <v>22</v>
      </c>
      <c r="F73" s="12">
        <v>1</v>
      </c>
      <c r="G73" s="14" t="s">
        <v>133</v>
      </c>
      <c r="H73" s="15">
        <v>60000</v>
      </c>
      <c r="I73" s="15">
        <f t="shared" si="1"/>
        <v>60000</v>
      </c>
      <c r="J73" s="13" t="s">
        <v>596</v>
      </c>
    </row>
    <row r="74" spans="1:10" ht="12.5" x14ac:dyDescent="0.25">
      <c r="A74" s="12" t="s">
        <v>232</v>
      </c>
      <c r="B74" s="12">
        <v>9</v>
      </c>
      <c r="C74" s="12" t="s">
        <v>262</v>
      </c>
      <c r="D74" s="21" t="s">
        <v>597</v>
      </c>
      <c r="E74" s="12" t="s">
        <v>68</v>
      </c>
      <c r="F74" s="12">
        <v>1</v>
      </c>
      <c r="G74" s="14" t="s">
        <v>133</v>
      </c>
      <c r="H74" s="15">
        <v>170000</v>
      </c>
      <c r="I74" s="15">
        <f t="shared" si="1"/>
        <v>170000</v>
      </c>
      <c r="J74" s="13" t="s">
        <v>598</v>
      </c>
    </row>
    <row r="75" spans="1:10" ht="12.5" x14ac:dyDescent="0.25">
      <c r="A75" s="12" t="s">
        <v>235</v>
      </c>
      <c r="B75" s="12">
        <v>10</v>
      </c>
      <c r="C75" s="12" t="s">
        <v>83</v>
      </c>
      <c r="D75" s="21" t="s">
        <v>599</v>
      </c>
      <c r="E75" s="12" t="s">
        <v>22</v>
      </c>
      <c r="F75" s="12">
        <v>1</v>
      </c>
      <c r="G75" s="14" t="s">
        <v>133</v>
      </c>
      <c r="H75" s="15">
        <v>55000</v>
      </c>
      <c r="I75" s="15">
        <f t="shared" si="1"/>
        <v>55000</v>
      </c>
      <c r="J75" s="13" t="s">
        <v>600</v>
      </c>
    </row>
    <row r="76" spans="1:10" ht="12.5" x14ac:dyDescent="0.25">
      <c r="A76" s="12" t="s">
        <v>238</v>
      </c>
      <c r="B76" s="12">
        <v>10</v>
      </c>
      <c r="C76" s="12" t="s">
        <v>51</v>
      </c>
      <c r="D76" s="21" t="s">
        <v>601</v>
      </c>
      <c r="E76" s="12" t="s">
        <v>22</v>
      </c>
      <c r="F76" s="12">
        <v>1</v>
      </c>
      <c r="G76" s="14" t="s">
        <v>133</v>
      </c>
      <c r="H76" s="15">
        <v>110000</v>
      </c>
      <c r="I76" s="15">
        <f t="shared" si="1"/>
        <v>110000</v>
      </c>
      <c r="J76" s="13" t="s">
        <v>602</v>
      </c>
    </row>
    <row r="77" spans="1:10" ht="12.5" x14ac:dyDescent="0.25">
      <c r="A77" s="12" t="s">
        <v>241</v>
      </c>
      <c r="B77" s="12">
        <v>10</v>
      </c>
      <c r="C77" s="12" t="s">
        <v>51</v>
      </c>
      <c r="D77" s="21" t="s">
        <v>603</v>
      </c>
      <c r="E77" s="12" t="s">
        <v>22</v>
      </c>
      <c r="F77" s="12">
        <v>1</v>
      </c>
      <c r="G77" s="14" t="s">
        <v>133</v>
      </c>
      <c r="H77" s="15">
        <v>45000</v>
      </c>
      <c r="I77" s="15">
        <f t="shared" si="1"/>
        <v>45000</v>
      </c>
      <c r="J77" s="13" t="s">
        <v>604</v>
      </c>
    </row>
    <row r="78" spans="1:10" ht="12.5" x14ac:dyDescent="0.25">
      <c r="A78" s="12" t="s">
        <v>244</v>
      </c>
      <c r="B78" s="12">
        <v>10</v>
      </c>
      <c r="C78" s="12" t="s">
        <v>51</v>
      </c>
      <c r="D78" s="21" t="s">
        <v>605</v>
      </c>
      <c r="E78" s="12" t="s">
        <v>22</v>
      </c>
      <c r="F78" s="12">
        <v>1</v>
      </c>
      <c r="G78" s="14" t="s">
        <v>133</v>
      </c>
      <c r="H78" s="15">
        <v>80000</v>
      </c>
      <c r="I78" s="15">
        <f t="shared" si="1"/>
        <v>80000</v>
      </c>
      <c r="J78" s="13" t="s">
        <v>606</v>
      </c>
    </row>
    <row r="79" spans="1:10" ht="12.5" x14ac:dyDescent="0.25">
      <c r="A79" s="12" t="s">
        <v>247</v>
      </c>
      <c r="B79" s="12">
        <v>10</v>
      </c>
      <c r="C79" s="12" t="s">
        <v>51</v>
      </c>
      <c r="D79" s="21" t="s">
        <v>607</v>
      </c>
      <c r="E79" s="12" t="s">
        <v>22</v>
      </c>
      <c r="F79" s="12">
        <v>1</v>
      </c>
      <c r="G79" s="14" t="s">
        <v>133</v>
      </c>
      <c r="H79" s="15">
        <v>270000</v>
      </c>
      <c r="I79" s="15">
        <f t="shared" si="1"/>
        <v>270000</v>
      </c>
      <c r="J79" s="13" t="s">
        <v>100</v>
      </c>
    </row>
    <row r="80" spans="1:10" ht="12.5" x14ac:dyDescent="0.25">
      <c r="A80" s="12" t="s">
        <v>250</v>
      </c>
      <c r="B80" s="12">
        <v>11</v>
      </c>
      <c r="C80" s="12" t="s">
        <v>51</v>
      </c>
      <c r="D80" s="21" t="s">
        <v>608</v>
      </c>
      <c r="E80" s="12" t="s">
        <v>22</v>
      </c>
      <c r="F80" s="12">
        <v>1</v>
      </c>
      <c r="G80" s="14" t="s">
        <v>133</v>
      </c>
      <c r="H80" s="15">
        <v>85000</v>
      </c>
      <c r="I80" s="15">
        <f t="shared" si="1"/>
        <v>85000</v>
      </c>
      <c r="J80" s="13" t="s">
        <v>609</v>
      </c>
    </row>
    <row r="81" spans="1:10" ht="12.5" x14ac:dyDescent="0.25">
      <c r="A81" s="12" t="s">
        <v>253</v>
      </c>
      <c r="B81" s="12">
        <v>11</v>
      </c>
      <c r="C81" s="12" t="s">
        <v>51</v>
      </c>
      <c r="D81" s="21" t="s">
        <v>610</v>
      </c>
      <c r="E81" s="12" t="s">
        <v>22</v>
      </c>
      <c r="F81" s="12">
        <v>1</v>
      </c>
      <c r="G81" s="14" t="s">
        <v>133</v>
      </c>
      <c r="H81" s="15">
        <v>115000</v>
      </c>
      <c r="I81" s="15">
        <f t="shared" si="1"/>
        <v>115000</v>
      </c>
      <c r="J81" s="13" t="s">
        <v>611</v>
      </c>
    </row>
    <row r="82" spans="1:10" ht="12.5" x14ac:dyDescent="0.25">
      <c r="A82" s="12" t="s">
        <v>256</v>
      </c>
      <c r="B82" s="12">
        <v>11</v>
      </c>
      <c r="C82" s="12" t="s">
        <v>51</v>
      </c>
      <c r="D82" s="21" t="s">
        <v>612</v>
      </c>
      <c r="E82" s="12" t="s">
        <v>22</v>
      </c>
      <c r="F82" s="12">
        <v>1</v>
      </c>
      <c r="G82" s="14" t="s">
        <v>133</v>
      </c>
      <c r="H82" s="15">
        <v>310000</v>
      </c>
      <c r="I82" s="15">
        <f t="shared" si="1"/>
        <v>310000</v>
      </c>
      <c r="J82" s="13" t="s">
        <v>613</v>
      </c>
    </row>
    <row r="83" spans="1:10" ht="12.5" x14ac:dyDescent="0.25">
      <c r="A83" s="12" t="s">
        <v>258</v>
      </c>
      <c r="B83" s="12">
        <v>11</v>
      </c>
      <c r="C83" s="12" t="s">
        <v>83</v>
      </c>
      <c r="D83" s="21" t="s">
        <v>614</v>
      </c>
      <c r="E83" s="12" t="s">
        <v>22</v>
      </c>
      <c r="F83" s="12">
        <v>1</v>
      </c>
      <c r="G83" s="14" t="s">
        <v>133</v>
      </c>
      <c r="H83" s="15">
        <v>40000</v>
      </c>
      <c r="I83" s="15">
        <f t="shared" si="1"/>
        <v>40000</v>
      </c>
      <c r="J83" s="13" t="s">
        <v>615</v>
      </c>
    </row>
    <row r="84" spans="1:10" ht="12.5" x14ac:dyDescent="0.25">
      <c r="A84" s="12" t="s">
        <v>261</v>
      </c>
      <c r="B84" s="12">
        <v>13</v>
      </c>
      <c r="C84" s="12" t="s">
        <v>51</v>
      </c>
      <c r="D84" s="21" t="s">
        <v>616</v>
      </c>
      <c r="E84" s="12" t="s">
        <v>22</v>
      </c>
      <c r="F84" s="12">
        <v>1</v>
      </c>
      <c r="G84" s="14" t="s">
        <v>133</v>
      </c>
      <c r="H84" s="15">
        <v>70000</v>
      </c>
      <c r="I84" s="15">
        <f t="shared" si="1"/>
        <v>70000</v>
      </c>
      <c r="J84" s="13" t="s">
        <v>617</v>
      </c>
    </row>
    <row r="85" spans="1:10" ht="12.5" x14ac:dyDescent="0.25">
      <c r="A85" s="12" t="s">
        <v>265</v>
      </c>
      <c r="B85" s="12">
        <v>13</v>
      </c>
      <c r="C85" s="12" t="s">
        <v>51</v>
      </c>
      <c r="D85" s="21" t="s">
        <v>610</v>
      </c>
      <c r="E85" s="12" t="s">
        <v>22</v>
      </c>
      <c r="F85" s="12">
        <v>1</v>
      </c>
      <c r="G85" s="14" t="s">
        <v>133</v>
      </c>
      <c r="H85" s="15">
        <v>60000</v>
      </c>
      <c r="I85" s="15">
        <f t="shared" si="1"/>
        <v>60000</v>
      </c>
      <c r="J85" s="13" t="s">
        <v>618</v>
      </c>
    </row>
    <row r="86" spans="1:10" ht="12.5" x14ac:dyDescent="0.25">
      <c r="A86" s="12" t="s">
        <v>266</v>
      </c>
      <c r="B86" s="12">
        <v>13</v>
      </c>
      <c r="C86" s="12" t="s">
        <v>51</v>
      </c>
      <c r="D86" s="21" t="s">
        <v>345</v>
      </c>
      <c r="E86" s="12" t="s">
        <v>22</v>
      </c>
      <c r="F86" s="12">
        <v>1</v>
      </c>
      <c r="G86" s="14" t="s">
        <v>133</v>
      </c>
      <c r="H86" s="15">
        <v>1045000</v>
      </c>
      <c r="I86" s="15">
        <f t="shared" si="1"/>
        <v>1045000</v>
      </c>
      <c r="J86" s="13" t="s">
        <v>580</v>
      </c>
    </row>
    <row r="87" spans="1:10" ht="12.5" x14ac:dyDescent="0.25">
      <c r="A87" s="12" t="s">
        <v>267</v>
      </c>
      <c r="B87" s="12">
        <v>13</v>
      </c>
      <c r="C87" s="12" t="s">
        <v>83</v>
      </c>
      <c r="D87" s="21" t="s">
        <v>619</v>
      </c>
      <c r="E87" s="12" t="s">
        <v>22</v>
      </c>
      <c r="F87" s="12">
        <v>1</v>
      </c>
      <c r="G87" s="14" t="s">
        <v>133</v>
      </c>
      <c r="H87" s="15">
        <v>60000</v>
      </c>
      <c r="I87" s="15">
        <f t="shared" si="1"/>
        <v>60000</v>
      </c>
      <c r="J87" s="13" t="s">
        <v>620</v>
      </c>
    </row>
    <row r="88" spans="1:10" ht="12.5" x14ac:dyDescent="0.25">
      <c r="A88" s="12" t="s">
        <v>268</v>
      </c>
      <c r="B88" s="12">
        <v>13</v>
      </c>
      <c r="C88" s="12" t="s">
        <v>262</v>
      </c>
      <c r="D88" s="21" t="s">
        <v>621</v>
      </c>
      <c r="E88" s="12" t="s">
        <v>68</v>
      </c>
      <c r="F88" s="12">
        <v>1</v>
      </c>
      <c r="G88" s="14" t="s">
        <v>133</v>
      </c>
      <c r="H88" s="15">
        <v>55000</v>
      </c>
      <c r="I88" s="15">
        <f t="shared" si="1"/>
        <v>55000</v>
      </c>
      <c r="J88" s="13" t="s">
        <v>622</v>
      </c>
    </row>
    <row r="89" spans="1:10" ht="12.5" x14ac:dyDescent="0.25">
      <c r="A89" s="12" t="s">
        <v>270</v>
      </c>
      <c r="B89" s="12">
        <v>14</v>
      </c>
      <c r="C89" s="12" t="s">
        <v>51</v>
      </c>
      <c r="D89" s="21" t="s">
        <v>623</v>
      </c>
      <c r="E89" s="12" t="s">
        <v>22</v>
      </c>
      <c r="F89" s="12">
        <v>1</v>
      </c>
      <c r="G89" s="14" t="s">
        <v>133</v>
      </c>
      <c r="H89" s="15">
        <v>100000</v>
      </c>
      <c r="I89" s="15">
        <f t="shared" si="1"/>
        <v>100000</v>
      </c>
      <c r="J89" s="13" t="s">
        <v>617</v>
      </c>
    </row>
    <row r="90" spans="1:10" ht="12.5" x14ac:dyDescent="0.25">
      <c r="A90" s="12" t="s">
        <v>271</v>
      </c>
      <c r="B90" s="12">
        <v>15</v>
      </c>
      <c r="C90" s="12" t="s">
        <v>262</v>
      </c>
      <c r="D90" s="21" t="s">
        <v>624</v>
      </c>
      <c r="E90" s="12" t="s">
        <v>68</v>
      </c>
      <c r="F90" s="12">
        <v>1</v>
      </c>
      <c r="G90" s="14" t="s">
        <v>133</v>
      </c>
      <c r="H90" s="15">
        <v>450000</v>
      </c>
      <c r="I90" s="15">
        <f t="shared" si="1"/>
        <v>450000</v>
      </c>
      <c r="J90" s="13" t="s">
        <v>625</v>
      </c>
    </row>
    <row r="91" spans="1:10" ht="12.5" x14ac:dyDescent="0.25">
      <c r="A91" s="12" t="s">
        <v>272</v>
      </c>
      <c r="B91" s="12">
        <v>15</v>
      </c>
      <c r="C91" s="12" t="s">
        <v>51</v>
      </c>
      <c r="D91" s="21" t="s">
        <v>626</v>
      </c>
      <c r="E91" s="12" t="s">
        <v>22</v>
      </c>
      <c r="F91" s="12">
        <v>1</v>
      </c>
      <c r="G91" s="14" t="s">
        <v>133</v>
      </c>
      <c r="H91" s="15">
        <v>110000</v>
      </c>
      <c r="I91" s="15">
        <f t="shared" si="1"/>
        <v>110000</v>
      </c>
      <c r="J91" s="13" t="s">
        <v>587</v>
      </c>
    </row>
    <row r="92" spans="1:10" ht="12.5" x14ac:dyDescent="0.25">
      <c r="A92" s="12" t="s">
        <v>273</v>
      </c>
      <c r="B92" s="12">
        <v>15</v>
      </c>
      <c r="C92" s="12" t="s">
        <v>83</v>
      </c>
      <c r="D92" s="13" t="s">
        <v>562</v>
      </c>
      <c r="E92" s="12" t="s">
        <v>22</v>
      </c>
      <c r="F92" s="12">
        <v>1</v>
      </c>
      <c r="G92" s="14" t="s">
        <v>133</v>
      </c>
      <c r="H92" s="15">
        <v>145000</v>
      </c>
      <c r="I92" s="15">
        <f t="shared" si="1"/>
        <v>145000</v>
      </c>
      <c r="J92" s="13" t="s">
        <v>582</v>
      </c>
    </row>
    <row r="93" spans="1:10" ht="12.5" x14ac:dyDescent="0.25">
      <c r="A93" s="12" t="s">
        <v>274</v>
      </c>
      <c r="B93" s="12">
        <v>16</v>
      </c>
      <c r="C93" s="12" t="s">
        <v>51</v>
      </c>
      <c r="D93" s="13" t="s">
        <v>627</v>
      </c>
      <c r="E93" s="12" t="s">
        <v>22</v>
      </c>
      <c r="F93" s="12">
        <v>1</v>
      </c>
      <c r="G93" s="14" t="s">
        <v>133</v>
      </c>
      <c r="H93" s="15">
        <v>230000</v>
      </c>
      <c r="I93" s="15">
        <f t="shared" si="1"/>
        <v>230000</v>
      </c>
      <c r="J93" s="13" t="s">
        <v>628</v>
      </c>
    </row>
    <row r="94" spans="1:10" ht="12.5" x14ac:dyDescent="0.25">
      <c r="A94" s="12" t="s">
        <v>275</v>
      </c>
      <c r="B94" s="12">
        <v>16</v>
      </c>
      <c r="C94" s="12" t="s">
        <v>51</v>
      </c>
      <c r="D94" s="13" t="s">
        <v>629</v>
      </c>
      <c r="E94" s="12" t="s">
        <v>22</v>
      </c>
      <c r="F94" s="12">
        <v>1</v>
      </c>
      <c r="G94" s="14" t="s">
        <v>133</v>
      </c>
      <c r="H94" s="15">
        <v>150000</v>
      </c>
      <c r="I94" s="15">
        <f t="shared" si="1"/>
        <v>150000</v>
      </c>
      <c r="J94" s="13" t="s">
        <v>338</v>
      </c>
    </row>
    <row r="95" spans="1:10" ht="12.5" x14ac:dyDescent="0.25">
      <c r="A95" s="12" t="s">
        <v>276</v>
      </c>
      <c r="B95" s="12">
        <v>16</v>
      </c>
      <c r="C95" s="12" t="s">
        <v>51</v>
      </c>
      <c r="D95" s="13" t="s">
        <v>548</v>
      </c>
      <c r="E95" s="12" t="s">
        <v>22</v>
      </c>
      <c r="F95" s="12">
        <v>1</v>
      </c>
      <c r="G95" s="14" t="s">
        <v>133</v>
      </c>
      <c r="H95" s="15">
        <v>1140000</v>
      </c>
      <c r="I95" s="15">
        <f t="shared" si="1"/>
        <v>1140000</v>
      </c>
      <c r="J95" s="13" t="s">
        <v>630</v>
      </c>
    </row>
    <row r="96" spans="1:10" ht="12.5" x14ac:dyDescent="0.25">
      <c r="A96" s="12" t="s">
        <v>277</v>
      </c>
      <c r="B96" s="12">
        <v>16</v>
      </c>
      <c r="C96" s="12" t="s">
        <v>51</v>
      </c>
      <c r="D96" s="13" t="s">
        <v>548</v>
      </c>
      <c r="E96" s="12" t="s">
        <v>22</v>
      </c>
      <c r="F96" s="12">
        <v>1</v>
      </c>
      <c r="G96" s="14" t="s">
        <v>133</v>
      </c>
      <c r="H96" s="15">
        <v>310000</v>
      </c>
      <c r="I96" s="15">
        <f t="shared" si="1"/>
        <v>310000</v>
      </c>
      <c r="J96" s="13" t="s">
        <v>631</v>
      </c>
    </row>
    <row r="97" spans="1:10" ht="12.5" x14ac:dyDescent="0.25">
      <c r="A97" s="12" t="s">
        <v>278</v>
      </c>
      <c r="B97" s="12">
        <v>17</v>
      </c>
      <c r="C97" s="12" t="s">
        <v>51</v>
      </c>
      <c r="D97" s="13" t="s">
        <v>632</v>
      </c>
      <c r="E97" s="12" t="s">
        <v>22</v>
      </c>
      <c r="F97" s="12">
        <v>1</v>
      </c>
      <c r="G97" s="14" t="s">
        <v>133</v>
      </c>
      <c r="H97" s="15">
        <v>470000</v>
      </c>
      <c r="I97" s="15">
        <f t="shared" si="1"/>
        <v>470000</v>
      </c>
      <c r="J97" s="13" t="s">
        <v>633</v>
      </c>
    </row>
    <row r="98" spans="1:10" ht="12.5" x14ac:dyDescent="0.25">
      <c r="A98" s="12" t="s">
        <v>279</v>
      </c>
      <c r="B98" s="12">
        <v>17</v>
      </c>
      <c r="C98" s="12" t="s">
        <v>51</v>
      </c>
      <c r="D98" s="13" t="s">
        <v>634</v>
      </c>
      <c r="E98" s="12" t="s">
        <v>22</v>
      </c>
      <c r="F98" s="12">
        <v>1</v>
      </c>
      <c r="G98" s="14" t="s">
        <v>133</v>
      </c>
      <c r="H98" s="15">
        <v>185000</v>
      </c>
      <c r="I98" s="15">
        <f t="shared" si="1"/>
        <v>185000</v>
      </c>
      <c r="J98" s="14" t="s">
        <v>635</v>
      </c>
    </row>
    <row r="99" spans="1:10" ht="12.5" x14ac:dyDescent="0.25">
      <c r="A99" s="12" t="s">
        <v>280</v>
      </c>
      <c r="B99" s="12">
        <v>17</v>
      </c>
      <c r="C99" s="12" t="s">
        <v>51</v>
      </c>
      <c r="D99" s="13" t="s">
        <v>636</v>
      </c>
      <c r="E99" s="12" t="s">
        <v>22</v>
      </c>
      <c r="F99" s="12">
        <v>1</v>
      </c>
      <c r="G99" s="14" t="s">
        <v>133</v>
      </c>
      <c r="H99" s="15">
        <v>300000</v>
      </c>
      <c r="I99" s="15">
        <f t="shared" si="1"/>
        <v>300000</v>
      </c>
      <c r="J99" s="13" t="s">
        <v>459</v>
      </c>
    </row>
    <row r="100" spans="1:10" ht="12.5" x14ac:dyDescent="0.25">
      <c r="A100" s="12" t="s">
        <v>281</v>
      </c>
      <c r="B100" s="12">
        <v>17</v>
      </c>
      <c r="C100" s="12" t="s">
        <v>51</v>
      </c>
      <c r="D100" s="13" t="s">
        <v>637</v>
      </c>
      <c r="E100" s="12" t="s">
        <v>22</v>
      </c>
      <c r="F100" s="12">
        <v>1</v>
      </c>
      <c r="G100" s="14" t="s">
        <v>133</v>
      </c>
      <c r="H100" s="15">
        <v>205000</v>
      </c>
      <c r="I100" s="15">
        <f t="shared" si="1"/>
        <v>205000</v>
      </c>
      <c r="J100" s="21" t="s">
        <v>638</v>
      </c>
    </row>
    <row r="101" spans="1:10" ht="12.5" x14ac:dyDescent="0.25">
      <c r="A101" s="12" t="s">
        <v>282</v>
      </c>
      <c r="B101" s="12">
        <v>18</v>
      </c>
      <c r="C101" s="12" t="s">
        <v>51</v>
      </c>
      <c r="D101" s="13" t="s">
        <v>637</v>
      </c>
      <c r="E101" s="12" t="s">
        <v>22</v>
      </c>
      <c r="F101" s="12">
        <v>1</v>
      </c>
      <c r="G101" s="14" t="s">
        <v>133</v>
      </c>
      <c r="H101" s="15">
        <v>170000</v>
      </c>
      <c r="I101" s="15">
        <f t="shared" si="1"/>
        <v>170000</v>
      </c>
      <c r="J101" s="13" t="s">
        <v>416</v>
      </c>
    </row>
    <row r="102" spans="1:10" ht="12.5" x14ac:dyDescent="0.25">
      <c r="A102" s="12" t="s">
        <v>283</v>
      </c>
      <c r="B102" s="12">
        <v>18</v>
      </c>
      <c r="C102" s="12" t="s">
        <v>51</v>
      </c>
      <c r="D102" s="13" t="s">
        <v>639</v>
      </c>
      <c r="E102" s="12" t="s">
        <v>22</v>
      </c>
      <c r="F102" s="12">
        <v>1</v>
      </c>
      <c r="G102" s="14" t="s">
        <v>133</v>
      </c>
      <c r="H102" s="15">
        <v>135000</v>
      </c>
      <c r="I102" s="15">
        <f t="shared" si="1"/>
        <v>135000</v>
      </c>
      <c r="J102" s="13" t="s">
        <v>618</v>
      </c>
    </row>
    <row r="103" spans="1:10" ht="12.5" x14ac:dyDescent="0.25">
      <c r="A103" s="12" t="s">
        <v>284</v>
      </c>
      <c r="B103" s="12">
        <v>21</v>
      </c>
      <c r="C103" s="12" t="s">
        <v>73</v>
      </c>
      <c r="D103" s="13" t="s">
        <v>640</v>
      </c>
      <c r="E103" s="12" t="s">
        <v>22</v>
      </c>
      <c r="F103" s="12">
        <v>1</v>
      </c>
      <c r="G103" s="14" t="s">
        <v>133</v>
      </c>
      <c r="H103" s="15">
        <v>35000</v>
      </c>
      <c r="I103" s="15">
        <f t="shared" si="1"/>
        <v>35000</v>
      </c>
      <c r="J103" s="13" t="s">
        <v>641</v>
      </c>
    </row>
    <row r="104" spans="1:10" ht="12.5" x14ac:dyDescent="0.25">
      <c r="A104" s="12" t="s">
        <v>285</v>
      </c>
      <c r="B104" s="12">
        <v>21</v>
      </c>
      <c r="C104" s="12" t="s">
        <v>51</v>
      </c>
      <c r="D104" s="13" t="s">
        <v>642</v>
      </c>
      <c r="E104" s="12" t="s">
        <v>22</v>
      </c>
      <c r="F104" s="12">
        <v>1</v>
      </c>
      <c r="G104" s="14" t="s">
        <v>133</v>
      </c>
      <c r="H104" s="15">
        <v>470000</v>
      </c>
      <c r="I104" s="15">
        <f t="shared" si="1"/>
        <v>470000</v>
      </c>
      <c r="J104" s="13" t="s">
        <v>87</v>
      </c>
    </row>
    <row r="105" spans="1:10" ht="12.5" x14ac:dyDescent="0.25">
      <c r="A105" s="12" t="s">
        <v>286</v>
      </c>
      <c r="B105" s="12">
        <v>21</v>
      </c>
      <c r="C105" s="12" t="s">
        <v>51</v>
      </c>
      <c r="D105" s="13" t="s">
        <v>643</v>
      </c>
      <c r="E105" s="12" t="s">
        <v>22</v>
      </c>
      <c r="F105" s="12">
        <v>1</v>
      </c>
      <c r="G105" s="14" t="s">
        <v>133</v>
      </c>
      <c r="H105" s="15">
        <v>240000</v>
      </c>
      <c r="I105" s="15">
        <f t="shared" si="1"/>
        <v>240000</v>
      </c>
      <c r="J105" s="13" t="s">
        <v>644</v>
      </c>
    </row>
    <row r="106" spans="1:10" ht="12.5" x14ac:dyDescent="0.25">
      <c r="A106" s="12" t="s">
        <v>287</v>
      </c>
      <c r="B106" s="12">
        <v>23</v>
      </c>
      <c r="C106" s="12" t="s">
        <v>73</v>
      </c>
      <c r="D106" s="13" t="s">
        <v>645</v>
      </c>
      <c r="E106" s="12" t="s">
        <v>22</v>
      </c>
      <c r="F106" s="12">
        <v>1</v>
      </c>
      <c r="G106" s="14" t="s">
        <v>133</v>
      </c>
      <c r="H106" s="15">
        <v>170000</v>
      </c>
      <c r="I106" s="15">
        <f t="shared" si="1"/>
        <v>170000</v>
      </c>
      <c r="J106" s="13" t="s">
        <v>646</v>
      </c>
    </row>
    <row r="107" spans="1:10" ht="12.5" x14ac:dyDescent="0.25">
      <c r="A107" s="12" t="s">
        <v>289</v>
      </c>
      <c r="B107" s="12">
        <v>23</v>
      </c>
      <c r="C107" s="12" t="s">
        <v>262</v>
      </c>
      <c r="D107" s="13" t="s">
        <v>647</v>
      </c>
      <c r="E107" s="12" t="s">
        <v>68</v>
      </c>
      <c r="F107" s="12">
        <v>1</v>
      </c>
      <c r="G107" s="14" t="s">
        <v>133</v>
      </c>
      <c r="H107" s="15">
        <v>130000</v>
      </c>
      <c r="I107" s="15">
        <f t="shared" si="1"/>
        <v>130000</v>
      </c>
      <c r="J107" s="13" t="s">
        <v>625</v>
      </c>
    </row>
    <row r="108" spans="1:10" ht="12.5" x14ac:dyDescent="0.25">
      <c r="A108" s="12" t="s">
        <v>290</v>
      </c>
      <c r="B108" s="12">
        <v>23</v>
      </c>
      <c r="C108" s="12" t="s">
        <v>51</v>
      </c>
      <c r="D108" s="13" t="s">
        <v>610</v>
      </c>
      <c r="E108" s="12" t="s">
        <v>22</v>
      </c>
      <c r="F108" s="12">
        <v>1</v>
      </c>
      <c r="G108" s="14" t="s">
        <v>133</v>
      </c>
      <c r="H108" s="15">
        <v>200000</v>
      </c>
      <c r="I108" s="15">
        <f t="shared" si="1"/>
        <v>200000</v>
      </c>
      <c r="J108" s="13" t="s">
        <v>611</v>
      </c>
    </row>
    <row r="109" spans="1:10" ht="12.5" x14ac:dyDescent="0.25">
      <c r="A109" s="12" t="s">
        <v>291</v>
      </c>
      <c r="B109" s="12">
        <v>23</v>
      </c>
      <c r="C109" s="12" t="s">
        <v>51</v>
      </c>
      <c r="D109" s="13" t="s">
        <v>648</v>
      </c>
      <c r="E109" s="12" t="s">
        <v>22</v>
      </c>
      <c r="F109" s="12">
        <v>1</v>
      </c>
      <c r="G109" s="14" t="s">
        <v>133</v>
      </c>
      <c r="H109" s="15">
        <v>275000</v>
      </c>
      <c r="I109" s="15">
        <f t="shared" si="1"/>
        <v>275000</v>
      </c>
      <c r="J109" s="13" t="s">
        <v>649</v>
      </c>
    </row>
    <row r="110" spans="1:10" ht="12.5" x14ac:dyDescent="0.25">
      <c r="A110" s="12" t="s">
        <v>292</v>
      </c>
      <c r="B110" s="12">
        <v>24</v>
      </c>
      <c r="C110" s="12" t="s">
        <v>51</v>
      </c>
      <c r="D110" s="13" t="s">
        <v>650</v>
      </c>
      <c r="E110" s="12" t="s">
        <v>22</v>
      </c>
      <c r="F110" s="12">
        <v>1</v>
      </c>
      <c r="G110" s="14" t="s">
        <v>133</v>
      </c>
      <c r="H110" s="15">
        <v>150000</v>
      </c>
      <c r="I110" s="15">
        <f t="shared" si="1"/>
        <v>150000</v>
      </c>
      <c r="J110" s="13" t="s">
        <v>651</v>
      </c>
    </row>
    <row r="111" spans="1:10" ht="12.5" x14ac:dyDescent="0.25">
      <c r="A111" s="12" t="s">
        <v>293</v>
      </c>
      <c r="B111" s="12">
        <v>24</v>
      </c>
      <c r="C111" s="12" t="s">
        <v>83</v>
      </c>
      <c r="D111" s="13" t="s">
        <v>652</v>
      </c>
      <c r="E111" s="12" t="s">
        <v>22</v>
      </c>
      <c r="F111" s="12">
        <v>1</v>
      </c>
      <c r="G111" s="14" t="s">
        <v>133</v>
      </c>
      <c r="H111" s="15">
        <v>120000</v>
      </c>
      <c r="I111" s="15">
        <f t="shared" si="1"/>
        <v>120000</v>
      </c>
      <c r="J111" s="13" t="s">
        <v>170</v>
      </c>
    </row>
    <row r="112" spans="1:10" ht="12.5" x14ac:dyDescent="0.25">
      <c r="A112" s="12" t="s">
        <v>294</v>
      </c>
      <c r="B112" s="12">
        <v>27</v>
      </c>
      <c r="C112" s="12" t="s">
        <v>73</v>
      </c>
      <c r="D112" s="13" t="s">
        <v>653</v>
      </c>
      <c r="E112" s="12" t="s">
        <v>22</v>
      </c>
      <c r="F112" s="12">
        <v>1</v>
      </c>
      <c r="G112" s="14" t="s">
        <v>133</v>
      </c>
      <c r="H112" s="15">
        <v>330000</v>
      </c>
      <c r="I112" s="15">
        <f t="shared" si="1"/>
        <v>330000</v>
      </c>
      <c r="J112" s="13" t="s">
        <v>654</v>
      </c>
    </row>
    <row r="113" spans="1:10" ht="12.5" x14ac:dyDescent="0.25">
      <c r="A113" s="12" t="s">
        <v>295</v>
      </c>
      <c r="B113" s="12">
        <v>27</v>
      </c>
      <c r="C113" s="12" t="s">
        <v>51</v>
      </c>
      <c r="D113" s="13" t="s">
        <v>655</v>
      </c>
      <c r="E113" s="12" t="s">
        <v>22</v>
      </c>
      <c r="F113" s="12">
        <v>1</v>
      </c>
      <c r="G113" s="14" t="s">
        <v>133</v>
      </c>
      <c r="H113" s="15">
        <v>140000</v>
      </c>
      <c r="I113" s="15">
        <f t="shared" si="1"/>
        <v>140000</v>
      </c>
      <c r="J113" s="13" t="s">
        <v>656</v>
      </c>
    </row>
    <row r="114" spans="1:10" ht="12.5" x14ac:dyDescent="0.25">
      <c r="A114" s="12" t="s">
        <v>296</v>
      </c>
      <c r="B114" s="12">
        <v>28</v>
      </c>
      <c r="C114" s="12" t="s">
        <v>51</v>
      </c>
      <c r="D114" s="13" t="s">
        <v>657</v>
      </c>
      <c r="E114" s="12" t="s">
        <v>22</v>
      </c>
      <c r="F114" s="12">
        <v>1</v>
      </c>
      <c r="G114" s="14" t="s">
        <v>133</v>
      </c>
      <c r="H114" s="15">
        <v>410000</v>
      </c>
      <c r="I114" s="15">
        <f t="shared" si="1"/>
        <v>410000</v>
      </c>
      <c r="J114" s="13" t="s">
        <v>658</v>
      </c>
    </row>
    <row r="115" spans="1:10" ht="12.5" x14ac:dyDescent="0.25">
      <c r="A115" s="12"/>
      <c r="B115" s="12"/>
      <c r="C115" s="12"/>
      <c r="D115" s="13"/>
      <c r="E115" s="12"/>
      <c r="F115" s="12"/>
      <c r="G115" s="14"/>
      <c r="H115" s="15"/>
      <c r="I115" s="15">
        <f t="shared" si="1"/>
        <v>0</v>
      </c>
      <c r="J115" s="13"/>
    </row>
    <row r="116" spans="1:10" ht="12.5" x14ac:dyDescent="0.25">
      <c r="A116" s="12"/>
      <c r="B116" s="12"/>
      <c r="C116" s="12"/>
      <c r="D116" s="13"/>
      <c r="E116" s="12"/>
      <c r="F116" s="12"/>
      <c r="G116" s="14"/>
      <c r="H116" s="15"/>
      <c r="I116" s="15">
        <f t="shared" si="1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1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1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1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1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1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1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1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1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1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1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1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1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1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1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1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1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1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1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1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1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1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1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1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1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1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1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1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1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1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1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1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1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1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1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1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1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1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1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1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1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1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1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1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1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1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1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1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1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1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1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1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1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1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1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1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1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1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1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1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1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1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1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1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1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1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1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1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1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1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1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1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1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1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1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1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1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1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1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5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2">
    <dataValidation type="list" allowBlank="1" showErrorMessage="1" sqref="E20:E194" xr:uid="{00000000-0002-0000-0500-000000000000}">
      <formula1>"One Time,Reccuring"</formula1>
    </dataValidation>
    <dataValidation type="list" allowBlank="1" showErrorMessage="1" sqref="P18 C20:C194" xr:uid="{00000000-0002-0000-0500-000001000000}">
      <formula1>"Stock Dagangan,Stock Bahan,Operational,Packing,Tenant,Gaji Karyawan,Team"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Revenue'!AL29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29847500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677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51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29847500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12091000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25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IFERROR(__xludf.DUMMYFUNCTION("filter(A20:J194,C20:C194=P18)"),"20")</f>
        <v>20</v>
      </c>
      <c r="O20" s="7">
        <f ca="1">IFERROR(__xludf.DUMMYFUNCTION("""COMPUTED_VALUE"""),1)</f>
        <v>1</v>
      </c>
      <c r="P20" s="7" t="str">
        <f ca="1">IFERROR(__xludf.DUMMYFUNCTION("""COMPUTED_VALUE"""),"Stock Dagangan")</f>
        <v>Stock Dagangan</v>
      </c>
      <c r="Q20" s="7" t="str">
        <f ca="1">IFERROR(__xludf.DUMMYFUNCTION("""COMPUTED_VALUE"""),"Rajutan")</f>
        <v>Rajutan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IFERROR(__xludf.DUMMYFUNCTION("""COMPUTED_VALUE"""),256000)</f>
        <v>256000</v>
      </c>
      <c r="V20" s="17">
        <f ca="1">IFERROR(__xludf.DUMMYFUNCTION("""COMPUTED_VALUE"""),256000)</f>
        <v>256000</v>
      </c>
      <c r="W20" s="7" t="str">
        <f ca="1">IFERROR(__xludf.DUMMYFUNCTION("""COMPUTED_VALUE"""),"Rani")</f>
        <v>Rani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IFERROR(__xludf.DUMMYFUNCTION("""COMPUTED_VALUE"""),"21")</f>
        <v>21</v>
      </c>
      <c r="O21" s="7">
        <f ca="1">IFERROR(__xludf.DUMMYFUNCTION("""COMPUTED_VALUE"""),1)</f>
        <v>1</v>
      </c>
      <c r="P21" s="7" t="str">
        <f ca="1">IFERROR(__xludf.DUMMYFUNCTION("""COMPUTED_VALUE"""),"Stock Dagangan")</f>
        <v>Stock Dagangan</v>
      </c>
      <c r="Q21" s="7" t="str">
        <f ca="1">IFERROR(__xludf.DUMMYFUNCTION("""COMPUTED_VALUE"""),"Bunga kawat")</f>
        <v>Bunga kawat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IFERROR(__xludf.DUMMYFUNCTION("""COMPUTED_VALUE"""),430000)</f>
        <v>430000</v>
      </c>
      <c r="V21" s="17">
        <f ca="1">IFERROR(__xludf.DUMMYFUNCTION("""COMPUTED_VALUE"""),430000)</f>
        <v>430000</v>
      </c>
      <c r="W21" s="7" t="str">
        <f ca="1">IFERROR(__xludf.DUMMYFUNCTION("""COMPUTED_VALUE"""),"Vrisca")</f>
        <v>Vrisca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IFERROR(__xludf.DUMMYFUNCTION("""COMPUTED_VALUE"""),"22")</f>
        <v>22</v>
      </c>
      <c r="O22" s="7">
        <f ca="1">IFERROR(__xludf.DUMMYFUNCTION("""COMPUTED_VALUE"""),2)</f>
        <v>2</v>
      </c>
      <c r="P22" s="7" t="str">
        <f ca="1">IFERROR(__xludf.DUMMYFUNCTION("""COMPUTED_VALUE"""),"Stock Dagangan")</f>
        <v>Stock Dagangan</v>
      </c>
      <c r="Q22" s="7" t="str">
        <f ca="1">IFERROR(__xludf.DUMMYFUNCTION("""COMPUTED_VALUE"""),"Jepit bebek ")</f>
        <v xml:space="preserve">Jepit bebek 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IFERROR(__xludf.DUMMYFUNCTION("""COMPUTED_VALUE"""),"paket")</f>
        <v>paket</v>
      </c>
      <c r="U22" s="17">
        <f ca="1">IFERROR(__xludf.DUMMYFUNCTION("""COMPUTED_VALUE"""),340000)</f>
        <v>340000</v>
      </c>
      <c r="V22" s="17">
        <f ca="1">IFERROR(__xludf.DUMMYFUNCTION("""COMPUTED_VALUE"""),340000)</f>
        <v>340000</v>
      </c>
      <c r="W22" s="7" t="str">
        <f ca="1">IFERROR(__xludf.DUMMYFUNCTION("""COMPUTED_VALUE"""),"Oura Accesories")</f>
        <v>Oura Accesories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 t="str">
        <f ca="1">IFERROR(__xludf.DUMMYFUNCTION("""COMPUTED_VALUE"""),"24")</f>
        <v>24</v>
      </c>
      <c r="O23" s="7">
        <f ca="1">IFERROR(__xludf.DUMMYFUNCTION("""COMPUTED_VALUE"""),2)</f>
        <v>2</v>
      </c>
      <c r="P23" s="7" t="str">
        <f ca="1">IFERROR(__xludf.DUMMYFUNCTION("""COMPUTED_VALUE"""),"Stock Dagangan")</f>
        <v>Stock Dagangan</v>
      </c>
      <c r="Q23" s="7" t="str">
        <f ca="1">IFERROR(__xludf.DUMMYFUNCTION("""COMPUTED_VALUE"""),"jepit bunga")</f>
        <v>jepit bunga</v>
      </c>
      <c r="R23" s="7" t="str">
        <f ca="1">IFERROR(__xludf.DUMMYFUNCTION("""COMPUTED_VALUE"""),"Reccuring")</f>
        <v>Reccuring</v>
      </c>
      <c r="S23" s="7">
        <f ca="1">IFERROR(__xludf.DUMMYFUNCTION("""COMPUTED_VALUE"""),1)</f>
        <v>1</v>
      </c>
      <c r="T23" s="16" t="str">
        <f ca="1">IFERROR(__xludf.DUMMYFUNCTION("""COMPUTED_VALUE"""),"paket")</f>
        <v>paket</v>
      </c>
      <c r="U23" s="17">
        <f ca="1">IFERROR(__xludf.DUMMYFUNCTION("""COMPUTED_VALUE"""),720000)</f>
        <v>720000</v>
      </c>
      <c r="V23" s="17">
        <f ca="1">IFERROR(__xludf.DUMMYFUNCTION("""COMPUTED_VALUE"""),720000)</f>
        <v>720000</v>
      </c>
      <c r="W23" s="7" t="str">
        <f ca="1">IFERROR(__xludf.DUMMYFUNCTION("""COMPUTED_VALUE"""),"Red Ceri Acc")</f>
        <v>Red Ceri Acc</v>
      </c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N24" s="7" t="str">
        <f ca="1">IFERROR(__xludf.DUMMYFUNCTION("""COMPUTED_VALUE"""),"26")</f>
        <v>26</v>
      </c>
      <c r="O24" s="7">
        <f ca="1">IFERROR(__xludf.DUMMYFUNCTION("""COMPUTED_VALUE"""),5)</f>
        <v>5</v>
      </c>
      <c r="P24" s="7" t="str">
        <f ca="1">IFERROR(__xludf.DUMMYFUNCTION("""COMPUTED_VALUE"""),"Stock Dagangan")</f>
        <v>Stock Dagangan</v>
      </c>
      <c r="Q24" s="7" t="str">
        <f ca="1">IFERROR(__xludf.DUMMYFUNCTION("""COMPUTED_VALUE"""),"Jepit, dan cermin")</f>
        <v>Jepit, dan cermin</v>
      </c>
      <c r="R24" s="7" t="str">
        <f ca="1">IFERROR(__xludf.DUMMYFUNCTION("""COMPUTED_VALUE"""),"Reccuring")</f>
        <v>Reccuring</v>
      </c>
      <c r="S24" s="7">
        <f ca="1">IFERROR(__xludf.DUMMYFUNCTION("""COMPUTED_VALUE"""),1)</f>
        <v>1</v>
      </c>
      <c r="T24" s="16" t="str">
        <f ca="1">IFERROR(__xludf.DUMMYFUNCTION("""COMPUTED_VALUE"""),"paket")</f>
        <v>paket</v>
      </c>
      <c r="U24" s="17">
        <f ca="1">IFERROR(__xludf.DUMMYFUNCTION("""COMPUTED_VALUE"""),540000)</f>
        <v>540000</v>
      </c>
      <c r="V24" s="17">
        <f ca="1">IFERROR(__xludf.DUMMYFUNCTION("""COMPUTED_VALUE"""),540000)</f>
        <v>540000</v>
      </c>
      <c r="W24" s="7" t="str">
        <f ca="1">IFERROR(__xludf.DUMMYFUNCTION("""COMPUTED_VALUE"""),"Oura Accesories")</f>
        <v>Oura Accesories</v>
      </c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N25" s="7">
        <f ca="1">IFERROR(__xludf.DUMMYFUNCTION("""COMPUTED_VALUE"""),29)</f>
        <v>29</v>
      </c>
      <c r="O25" s="7">
        <f ca="1">IFERROR(__xludf.DUMMYFUNCTION("""COMPUTED_VALUE"""),8)</f>
        <v>8</v>
      </c>
      <c r="P25" s="7" t="str">
        <f ca="1">IFERROR(__xludf.DUMMYFUNCTION("""COMPUTED_VALUE"""),"Stock Dagangan")</f>
        <v>Stock Dagangan</v>
      </c>
      <c r="Q25" s="7" t="str">
        <f ca="1">IFERROR(__xludf.DUMMYFUNCTION("""COMPUTED_VALUE"""),"jepit")</f>
        <v>jepit</v>
      </c>
      <c r="R25" s="7" t="str">
        <f ca="1">IFERROR(__xludf.DUMMYFUNCTION("""COMPUTED_VALUE"""),"Reccuring")</f>
        <v>Reccuring</v>
      </c>
      <c r="S25" s="7">
        <f ca="1">IFERROR(__xludf.DUMMYFUNCTION("""COMPUTED_VALUE"""),1)</f>
        <v>1</v>
      </c>
      <c r="T25" s="16" t="str">
        <f ca="1">IFERROR(__xludf.DUMMYFUNCTION("""COMPUTED_VALUE"""),"paket")</f>
        <v>paket</v>
      </c>
      <c r="U25" s="17">
        <f ca="1">IFERROR(__xludf.DUMMYFUNCTION("""COMPUTED_VALUE"""),575000)</f>
        <v>575000</v>
      </c>
      <c r="V25" s="17">
        <f ca="1">IFERROR(__xludf.DUMMYFUNCTION("""COMPUTED_VALUE"""),575000)</f>
        <v>575000</v>
      </c>
      <c r="W25" s="7" t="str">
        <f ca="1">IFERROR(__xludf.DUMMYFUNCTION("""COMPUTED_VALUE"""),"Oura Accesories")</f>
        <v>Oura Accesories</v>
      </c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2291000</v>
      </c>
      <c r="I26" s="15">
        <f>H26</f>
        <v>2291000</v>
      </c>
      <c r="J26" s="13" t="s">
        <v>37</v>
      </c>
      <c r="N26" s="7" t="str">
        <f ca="1">IFERROR(__xludf.DUMMYFUNCTION("""COMPUTED_VALUE"""),"31")</f>
        <v>31</v>
      </c>
      <c r="O26" s="7">
        <f ca="1">IFERROR(__xludf.DUMMYFUNCTION("""COMPUTED_VALUE"""),9)</f>
        <v>9</v>
      </c>
      <c r="P26" s="7" t="str">
        <f ca="1">IFERROR(__xludf.DUMMYFUNCTION("""COMPUTED_VALUE"""),"Stock Dagangan")</f>
        <v>Stock Dagangan</v>
      </c>
      <c r="Q26" s="7" t="str">
        <f ca="1">IFERROR(__xludf.DUMMYFUNCTION("""COMPUTED_VALUE"""),"kain pantai")</f>
        <v>kain pantai</v>
      </c>
      <c r="R26" s="7" t="str">
        <f ca="1">IFERROR(__xludf.DUMMYFUNCTION("""COMPUTED_VALUE"""),"Reccuring")</f>
        <v>Reccuring</v>
      </c>
      <c r="S26" s="7">
        <f ca="1">IFERROR(__xludf.DUMMYFUNCTION("""COMPUTED_VALUE"""),1)</f>
        <v>1</v>
      </c>
      <c r="T26" s="16" t="str">
        <f ca="1">IFERROR(__xludf.DUMMYFUNCTION("""COMPUTED_VALUE"""),"paket")</f>
        <v>paket</v>
      </c>
      <c r="U26" s="17">
        <f ca="1">IFERROR(__xludf.DUMMYFUNCTION("""COMPUTED_VALUE"""),470000)</f>
        <v>470000</v>
      </c>
      <c r="V26" s="17">
        <f ca="1">IFERROR(__xludf.DUMMYFUNCTION("""COMPUTED_VALUE"""),470000)</f>
        <v>470000</v>
      </c>
      <c r="W26" s="7" t="str">
        <f ca="1">IFERROR(__xludf.DUMMYFUNCTION("""COMPUTED_VALUE"""),"GRIESA")</f>
        <v>GRIESA</v>
      </c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2201000</v>
      </c>
      <c r="I27" s="15">
        <f t="shared" ref="I27:I50" si="1">F27*H27</f>
        <v>2201000</v>
      </c>
      <c r="J27" s="13" t="s">
        <v>38</v>
      </c>
      <c r="N27" s="7" t="str">
        <f ca="1">IFERROR(__xludf.DUMMYFUNCTION("""COMPUTED_VALUE"""),"32")</f>
        <v>32</v>
      </c>
      <c r="O27" s="7">
        <f ca="1">IFERROR(__xludf.DUMMYFUNCTION("""COMPUTED_VALUE"""),10)</f>
        <v>10</v>
      </c>
      <c r="P27" s="7" t="str">
        <f ca="1">IFERROR(__xludf.DUMMYFUNCTION("""COMPUTED_VALUE"""),"Stock Dagangan")</f>
        <v>Stock Dagangan</v>
      </c>
      <c r="Q27" s="7" t="str">
        <f ca="1">IFERROR(__xludf.DUMMYFUNCTION("""COMPUTED_VALUE"""),"Kertas kado")</f>
        <v>Kertas kado</v>
      </c>
      <c r="R27" s="7" t="str">
        <f ca="1">IFERROR(__xludf.DUMMYFUNCTION("""COMPUTED_VALUE"""),"Reccuring")</f>
        <v>Reccuring</v>
      </c>
      <c r="S27" s="7">
        <f ca="1">IFERROR(__xludf.DUMMYFUNCTION("""COMPUTED_VALUE"""),1)</f>
        <v>1</v>
      </c>
      <c r="T27" s="16" t="str">
        <f ca="1">IFERROR(__xludf.DUMMYFUNCTION("""COMPUTED_VALUE"""),"paket")</f>
        <v>paket</v>
      </c>
      <c r="U27" s="17">
        <f ca="1">IFERROR(__xludf.DUMMYFUNCTION("""COMPUTED_VALUE"""),95000)</f>
        <v>95000</v>
      </c>
      <c r="V27" s="17">
        <f ca="1">IFERROR(__xludf.DUMMYFUNCTION("""COMPUTED_VALUE"""),50000)</f>
        <v>50000</v>
      </c>
      <c r="W27" s="7" t="str">
        <f ca="1">IFERROR(__xludf.DUMMYFUNCTION("""COMPUTED_VALUE"""),"Jadi sumber")</f>
        <v>Jadi sumber</v>
      </c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3</v>
      </c>
      <c r="G28" s="14" t="s">
        <v>23</v>
      </c>
      <c r="H28" s="15">
        <v>40000</v>
      </c>
      <c r="I28" s="15">
        <f t="shared" si="1"/>
        <v>120000</v>
      </c>
      <c r="J28" s="13" t="s">
        <v>41</v>
      </c>
      <c r="N28" s="7" t="str">
        <f ca="1">IFERROR(__xludf.DUMMYFUNCTION("""COMPUTED_VALUE"""),"33")</f>
        <v>33</v>
      </c>
      <c r="O28" s="7">
        <f ca="1">IFERROR(__xludf.DUMMYFUNCTION("""COMPUTED_VALUE"""),11)</f>
        <v>11</v>
      </c>
      <c r="P28" s="7" t="str">
        <f ca="1">IFERROR(__xludf.DUMMYFUNCTION("""COMPUTED_VALUE"""),"Stock Dagangan")</f>
        <v>Stock Dagangan</v>
      </c>
      <c r="Q28" s="7" t="str">
        <f ca="1">IFERROR(__xludf.DUMMYFUNCTION("""COMPUTED_VALUE"""),"Diamond Painting")</f>
        <v>Diamond Painting</v>
      </c>
      <c r="R28" s="7" t="str">
        <f ca="1">IFERROR(__xludf.DUMMYFUNCTION("""COMPUTED_VALUE"""),"Reccuring")</f>
        <v>Reccuring</v>
      </c>
      <c r="S28" s="7">
        <f ca="1">IFERROR(__xludf.DUMMYFUNCTION("""COMPUTED_VALUE"""),1)</f>
        <v>1</v>
      </c>
      <c r="T28" s="16" t="str">
        <f ca="1">IFERROR(__xludf.DUMMYFUNCTION("""COMPUTED_VALUE"""),"paket")</f>
        <v>paket</v>
      </c>
      <c r="U28" s="17">
        <f ca="1">IFERROR(__xludf.DUMMYFUNCTION("""COMPUTED_VALUE"""),65000)</f>
        <v>65000</v>
      </c>
      <c r="V28" s="17">
        <f ca="1">IFERROR(__xludf.DUMMYFUNCTION("""COMPUTED_VALUE"""),65000)</f>
        <v>65000</v>
      </c>
      <c r="W28" s="7" t="str">
        <f ca="1">IFERROR(__xludf.DUMMYFUNCTION("""COMPUTED_VALUE"""),"Bintang kecil diamond painting")</f>
        <v>Bintang kecil diamond painting</v>
      </c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4</v>
      </c>
      <c r="G29" s="14" t="s">
        <v>23</v>
      </c>
      <c r="H29" s="15">
        <v>50000</v>
      </c>
      <c r="I29" s="15">
        <f t="shared" si="1"/>
        <v>200000</v>
      </c>
      <c r="J29" s="13" t="s">
        <v>43</v>
      </c>
      <c r="N29" s="7" t="str">
        <f ca="1">IFERROR(__xludf.DUMMYFUNCTION("""COMPUTED_VALUE"""),"34")</f>
        <v>34</v>
      </c>
      <c r="O29" s="7">
        <f ca="1">IFERROR(__xludf.DUMMYFUNCTION("""COMPUTED_VALUE"""),11)</f>
        <v>11</v>
      </c>
      <c r="P29" s="7" t="str">
        <f ca="1">IFERROR(__xludf.DUMMYFUNCTION("""COMPUTED_VALUE"""),"Stock Dagangan")</f>
        <v>Stock Dagangan</v>
      </c>
      <c r="Q29" s="7" t="str">
        <f ca="1">IFERROR(__xludf.DUMMYFUNCTION("""COMPUTED_VALUE"""),"Collbook")</f>
        <v>Collbook</v>
      </c>
      <c r="R29" s="7" t="str">
        <f ca="1">IFERROR(__xludf.DUMMYFUNCTION("""COMPUTED_VALUE"""),"Reccuring")</f>
        <v>Reccuring</v>
      </c>
      <c r="S29" s="7">
        <f ca="1">IFERROR(__xludf.DUMMYFUNCTION("""COMPUTED_VALUE"""),1)</f>
        <v>1</v>
      </c>
      <c r="T29" s="16" t="str">
        <f ca="1">IFERROR(__xludf.DUMMYFUNCTION("""COMPUTED_VALUE"""),"paket")</f>
        <v>paket</v>
      </c>
      <c r="U29" s="17">
        <f ca="1">IFERROR(__xludf.DUMMYFUNCTION("""COMPUTED_VALUE"""),185000)</f>
        <v>185000</v>
      </c>
      <c r="V29" s="17">
        <f ca="1">IFERROR(__xludf.DUMMYFUNCTION("""COMPUTED_VALUE"""),185000)</f>
        <v>185000</v>
      </c>
      <c r="W29" s="7" t="str">
        <f ca="1">IFERROR(__xludf.DUMMYFUNCTION("""COMPUTED_VALUE"""),"QUAFF Indonesia ")</f>
        <v xml:space="preserve">QUAFF Indonesia </v>
      </c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4</v>
      </c>
      <c r="G30" s="14" t="s">
        <v>23</v>
      </c>
      <c r="H30" s="15">
        <v>65000</v>
      </c>
      <c r="I30" s="15">
        <f t="shared" si="1"/>
        <v>260000</v>
      </c>
      <c r="J30" s="13" t="s">
        <v>44</v>
      </c>
      <c r="N30" s="7" t="str">
        <f ca="1">IFERROR(__xludf.DUMMYFUNCTION("""COMPUTED_VALUE"""),"35")</f>
        <v>35</v>
      </c>
      <c r="O30" s="7">
        <f ca="1">IFERROR(__xludf.DUMMYFUNCTION("""COMPUTED_VALUE"""),11)</f>
        <v>11</v>
      </c>
      <c r="P30" s="7" t="str">
        <f ca="1">IFERROR(__xludf.DUMMYFUNCTION("""COMPUTED_VALUE"""),"Stock Dagangan")</f>
        <v>Stock Dagangan</v>
      </c>
      <c r="Q30" s="7" t="str">
        <f ca="1">IFERROR(__xludf.DUMMYFUNCTION("""COMPUTED_VALUE"""),"bantal penghangat ")</f>
        <v xml:space="preserve">bantal penghangat </v>
      </c>
      <c r="R30" s="7" t="str">
        <f ca="1">IFERROR(__xludf.DUMMYFUNCTION("""COMPUTED_VALUE"""),"Reccuring")</f>
        <v>Reccuring</v>
      </c>
      <c r="S30" s="7">
        <f ca="1">IFERROR(__xludf.DUMMYFUNCTION("""COMPUTED_VALUE"""),1)</f>
        <v>1</v>
      </c>
      <c r="T30" s="16" t="str">
        <f ca="1">IFERROR(__xludf.DUMMYFUNCTION("""COMPUTED_VALUE"""),"paket")</f>
        <v>paket</v>
      </c>
      <c r="U30" s="17">
        <f ca="1">IFERROR(__xludf.DUMMYFUNCTION("""COMPUTED_VALUE"""),130000)</f>
        <v>130000</v>
      </c>
      <c r="V30" s="17">
        <f ca="1">IFERROR(__xludf.DUMMYFUNCTION("""COMPUTED_VALUE"""),130000)</f>
        <v>130000</v>
      </c>
      <c r="W30" s="7" t="str">
        <f ca="1">IFERROR(__xludf.DUMMYFUNCTION("""COMPUTED_VALUE"""),"Keset Anti Slip Mainan Sofa BB")</f>
        <v>Keset Anti Slip Mainan Sofa BB</v>
      </c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1"/>
        <v>100000</v>
      </c>
      <c r="J31" s="13" t="s">
        <v>46</v>
      </c>
      <c r="N31" s="7" t="str">
        <f ca="1">IFERROR(__xludf.DUMMYFUNCTION("""COMPUTED_VALUE"""),"36")</f>
        <v>36</v>
      </c>
      <c r="O31" s="7">
        <f ca="1">IFERROR(__xludf.DUMMYFUNCTION("""COMPUTED_VALUE"""),11)</f>
        <v>11</v>
      </c>
      <c r="P31" s="7" t="str">
        <f ca="1">IFERROR(__xludf.DUMMYFUNCTION("""COMPUTED_VALUE"""),"Stock Dagangan")</f>
        <v>Stock Dagangan</v>
      </c>
      <c r="Q31" s="7" t="str">
        <f ca="1">IFERROR(__xludf.DUMMYFUNCTION("""COMPUTED_VALUE"""),"Gelang Premium")</f>
        <v>Gelang Premium</v>
      </c>
      <c r="R31" s="7" t="str">
        <f ca="1">IFERROR(__xludf.DUMMYFUNCTION("""COMPUTED_VALUE"""),"Reccuring")</f>
        <v>Reccuring</v>
      </c>
      <c r="S31" s="7">
        <f ca="1">IFERROR(__xludf.DUMMYFUNCTION("""COMPUTED_VALUE"""),1)</f>
        <v>1</v>
      </c>
      <c r="T31" s="16" t="str">
        <f ca="1">IFERROR(__xludf.DUMMYFUNCTION("""COMPUTED_VALUE"""),"paket")</f>
        <v>paket</v>
      </c>
      <c r="U31" s="17">
        <f ca="1">IFERROR(__xludf.DUMMYFUNCTION("""COMPUTED_VALUE"""),180000)</f>
        <v>180000</v>
      </c>
      <c r="V31" s="17">
        <f ca="1">IFERROR(__xludf.DUMMYFUNCTION("""COMPUTED_VALUE"""),180000)</f>
        <v>180000</v>
      </c>
      <c r="W31" s="7" t="str">
        <f ca="1">IFERROR(__xludf.DUMMYFUNCTION("""COMPUTED_VALUE"""),"Carmen Girl Fashion Aksesoris")</f>
        <v>Carmen Girl Fashion Aksesoris</v>
      </c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1"/>
        <v>300000</v>
      </c>
      <c r="J32" s="13" t="s">
        <v>48</v>
      </c>
      <c r="N32" s="7" t="str">
        <f ca="1">IFERROR(__xludf.DUMMYFUNCTION("""COMPUTED_VALUE"""),"37")</f>
        <v>37</v>
      </c>
      <c r="O32" s="7">
        <f ca="1">IFERROR(__xludf.DUMMYFUNCTION("""COMPUTED_VALUE"""),11)</f>
        <v>11</v>
      </c>
      <c r="P32" s="7" t="str">
        <f ca="1">IFERROR(__xludf.DUMMYFUNCTION("""COMPUTED_VALUE"""),"Stock Dagangan")</f>
        <v>Stock Dagangan</v>
      </c>
      <c r="Q32" s="7" t="str">
        <f ca="1">IFERROR(__xludf.DUMMYFUNCTION("""COMPUTED_VALUE"""),"Kalung bintang ")</f>
        <v xml:space="preserve">Kalung bintang </v>
      </c>
      <c r="R32" s="7" t="str">
        <f ca="1">IFERROR(__xludf.DUMMYFUNCTION("""COMPUTED_VALUE"""),"Reccuring")</f>
        <v>Reccuring</v>
      </c>
      <c r="S32" s="7">
        <f ca="1">IFERROR(__xludf.DUMMYFUNCTION("""COMPUTED_VALUE"""),1)</f>
        <v>1</v>
      </c>
      <c r="T32" s="16" t="str">
        <f ca="1">IFERROR(__xludf.DUMMYFUNCTION("""COMPUTED_VALUE"""),"paket")</f>
        <v>paket</v>
      </c>
      <c r="U32" s="17">
        <f ca="1">IFERROR(__xludf.DUMMYFUNCTION("""COMPUTED_VALUE"""),145000)</f>
        <v>145000</v>
      </c>
      <c r="V32" s="17">
        <f ca="1">IFERROR(__xludf.DUMMYFUNCTION("""COMPUTED_VALUE"""),145000)</f>
        <v>145000</v>
      </c>
      <c r="W32" s="7" t="str">
        <f ca="1">IFERROR(__xludf.DUMMYFUNCTION("""COMPUTED_VALUE"""),"Moving onn")</f>
        <v>Moving onn</v>
      </c>
    </row>
    <row r="33" spans="1:23" ht="12.5" x14ac:dyDescent="0.25">
      <c r="A33" s="12" t="s">
        <v>127</v>
      </c>
      <c r="B33" s="12">
        <v>1</v>
      </c>
      <c r="C33" s="12" t="s">
        <v>39</v>
      </c>
      <c r="D33" s="21" t="s">
        <v>720</v>
      </c>
      <c r="E33" s="12" t="s">
        <v>68</v>
      </c>
      <c r="F33" s="12">
        <v>1</v>
      </c>
      <c r="G33" s="14" t="s">
        <v>23</v>
      </c>
      <c r="H33" s="15">
        <v>1500000</v>
      </c>
      <c r="I33" s="15">
        <f t="shared" si="1"/>
        <v>1500000</v>
      </c>
      <c r="J33" s="13" t="s">
        <v>722</v>
      </c>
      <c r="N33" s="7" t="str">
        <f ca="1">IFERROR(__xludf.DUMMYFUNCTION("""COMPUTED_VALUE"""),"38")</f>
        <v>38</v>
      </c>
      <c r="O33" s="7">
        <f ca="1">IFERROR(__xludf.DUMMYFUNCTION("""COMPUTED_VALUE"""),11)</f>
        <v>11</v>
      </c>
      <c r="P33" s="7" t="str">
        <f ca="1">IFERROR(__xludf.DUMMYFUNCTION("""COMPUTED_VALUE"""),"Stock Dagangan")</f>
        <v>Stock Dagangan</v>
      </c>
      <c r="Q33" s="7" t="str">
        <f ca="1">IFERROR(__xludf.DUMMYFUNCTION("""COMPUTED_VALUE"""),"Earphone dan case ")</f>
        <v xml:space="preserve">Earphone dan case </v>
      </c>
      <c r="R33" s="7" t="str">
        <f ca="1">IFERROR(__xludf.DUMMYFUNCTION("""COMPUTED_VALUE"""),"Reccuring")</f>
        <v>Reccuring</v>
      </c>
      <c r="S33" s="7">
        <f ca="1">IFERROR(__xludf.DUMMYFUNCTION("""COMPUTED_VALUE"""),1)</f>
        <v>1</v>
      </c>
      <c r="T33" s="16" t="str">
        <f ca="1">IFERROR(__xludf.DUMMYFUNCTION("""COMPUTED_VALUE"""),"paket")</f>
        <v>paket</v>
      </c>
      <c r="U33" s="17">
        <f ca="1">IFERROR(__xludf.DUMMYFUNCTION("""COMPUTED_VALUE"""),180000)</f>
        <v>180000</v>
      </c>
      <c r="V33" s="17">
        <f ca="1">IFERROR(__xludf.DUMMYFUNCTION("""COMPUTED_VALUE"""),180000)</f>
        <v>180000</v>
      </c>
      <c r="W33" s="7" t="str">
        <f ca="1">IFERROR(__xludf.DUMMYFUNCTION("""COMPUTED_VALUE"""),"Gotrays Factory Outlet ")</f>
        <v xml:space="preserve">Gotrays Factory Outlet </v>
      </c>
    </row>
    <row r="34" spans="1:23" ht="12.5" x14ac:dyDescent="0.25">
      <c r="A34" s="12" t="s">
        <v>128</v>
      </c>
      <c r="B34" s="12">
        <v>1</v>
      </c>
      <c r="C34" s="12" t="s">
        <v>35</v>
      </c>
      <c r="D34" s="21" t="s">
        <v>727</v>
      </c>
      <c r="E34" s="12" t="s">
        <v>68</v>
      </c>
      <c r="F34" s="12">
        <v>5</v>
      </c>
      <c r="G34" s="14" t="s">
        <v>23</v>
      </c>
      <c r="H34" s="15">
        <v>120000</v>
      </c>
      <c r="I34" s="15">
        <f t="shared" si="1"/>
        <v>600000</v>
      </c>
      <c r="J34" s="13" t="s">
        <v>729</v>
      </c>
      <c r="N34" s="7" t="str">
        <f ca="1">IFERROR(__xludf.DUMMYFUNCTION("""COMPUTED_VALUE"""),"39")</f>
        <v>39</v>
      </c>
      <c r="O34" s="7">
        <f ca="1">IFERROR(__xludf.DUMMYFUNCTION("""COMPUTED_VALUE"""),12)</f>
        <v>12</v>
      </c>
      <c r="P34" s="7" t="str">
        <f ca="1">IFERROR(__xludf.DUMMYFUNCTION("""COMPUTED_VALUE"""),"Stock Dagangan")</f>
        <v>Stock Dagangan</v>
      </c>
      <c r="Q34" s="7" t="str">
        <f ca="1">IFERROR(__xludf.DUMMYFUNCTION("""COMPUTED_VALUE"""),"Jeday")</f>
        <v>Jeday</v>
      </c>
      <c r="R34" s="7" t="str">
        <f ca="1">IFERROR(__xludf.DUMMYFUNCTION("""COMPUTED_VALUE"""),"Reccuring")</f>
        <v>Reccuring</v>
      </c>
      <c r="S34" s="7">
        <f ca="1">IFERROR(__xludf.DUMMYFUNCTION("""COMPUTED_VALUE"""),1)</f>
        <v>1</v>
      </c>
      <c r="T34" s="16" t="str">
        <f ca="1">IFERROR(__xludf.DUMMYFUNCTION("""COMPUTED_VALUE"""),"paket")</f>
        <v>paket</v>
      </c>
      <c r="U34" s="17">
        <f ca="1">IFERROR(__xludf.DUMMYFUNCTION("""COMPUTED_VALUE"""),135000)</f>
        <v>135000</v>
      </c>
      <c r="V34" s="17">
        <f ca="1">IFERROR(__xludf.DUMMYFUNCTION("""COMPUTED_VALUE"""),135000)</f>
        <v>135000</v>
      </c>
      <c r="W34" s="7" t="str">
        <f ca="1">IFERROR(__xludf.DUMMYFUNCTION("""COMPUTED_VALUE"""),"originshop bkk")</f>
        <v>originshop bkk</v>
      </c>
    </row>
    <row r="35" spans="1:23" ht="12.5" x14ac:dyDescent="0.25">
      <c r="A35" s="12" t="s">
        <v>129</v>
      </c>
      <c r="B35" s="12">
        <v>1</v>
      </c>
      <c r="C35" s="12" t="s">
        <v>660</v>
      </c>
      <c r="D35" s="21" t="s">
        <v>734</v>
      </c>
      <c r="E35" s="12" t="s">
        <v>22</v>
      </c>
      <c r="F35" s="12">
        <v>1</v>
      </c>
      <c r="G35" s="14" t="s">
        <v>23</v>
      </c>
      <c r="H35" s="15">
        <v>1000000</v>
      </c>
      <c r="I35" s="15">
        <f t="shared" si="1"/>
        <v>1000000</v>
      </c>
      <c r="J35" s="13" t="s">
        <v>737</v>
      </c>
      <c r="N35" s="7" t="str">
        <f ca="1">IFERROR(__xludf.DUMMYFUNCTION("""COMPUTED_VALUE"""),"40")</f>
        <v>40</v>
      </c>
      <c r="O35" s="7">
        <f ca="1">IFERROR(__xludf.DUMMYFUNCTION("""COMPUTED_VALUE"""),12)</f>
        <v>12</v>
      </c>
      <c r="P35" s="7" t="str">
        <f ca="1">IFERROR(__xludf.DUMMYFUNCTION("""COMPUTED_VALUE"""),"Stock Dagangan")</f>
        <v>Stock Dagangan</v>
      </c>
      <c r="Q35" s="7" t="str">
        <f ca="1">IFERROR(__xludf.DUMMYFUNCTION("""COMPUTED_VALUE"""),"kawat bulu dll")</f>
        <v>kawat bulu dll</v>
      </c>
      <c r="R35" s="7" t="str">
        <f ca="1">IFERROR(__xludf.DUMMYFUNCTION("""COMPUTED_VALUE"""),"Reccuring")</f>
        <v>Reccuring</v>
      </c>
      <c r="S35" s="7">
        <f ca="1">IFERROR(__xludf.DUMMYFUNCTION("""COMPUTED_VALUE"""),1)</f>
        <v>1</v>
      </c>
      <c r="T35" s="16" t="str">
        <f ca="1">IFERROR(__xludf.DUMMYFUNCTION("""COMPUTED_VALUE"""),"paket")</f>
        <v>paket</v>
      </c>
      <c r="U35" s="17">
        <f ca="1">IFERROR(__xludf.DUMMYFUNCTION("""COMPUTED_VALUE"""),560000)</f>
        <v>560000</v>
      </c>
      <c r="V35" s="17">
        <f ca="1">IFERROR(__xludf.DUMMYFUNCTION("""COMPUTED_VALUE"""),560000)</f>
        <v>560000</v>
      </c>
      <c r="W35" s="7" t="str">
        <f ca="1">IFERROR(__xludf.DUMMYFUNCTION("""COMPUTED_VALUE"""),"Pernak Pernik Surabaya")</f>
        <v>Pernak Pernik Surabaya</v>
      </c>
    </row>
    <row r="36" spans="1:23" ht="12.5" x14ac:dyDescent="0.25">
      <c r="A36" s="12" t="s">
        <v>130</v>
      </c>
      <c r="B36" s="12">
        <v>1</v>
      </c>
      <c r="C36" s="12" t="s">
        <v>73</v>
      </c>
      <c r="D36" s="21" t="s">
        <v>236</v>
      </c>
      <c r="E36" s="12" t="s">
        <v>22</v>
      </c>
      <c r="F36" s="12">
        <v>1</v>
      </c>
      <c r="G36" s="14" t="s">
        <v>133</v>
      </c>
      <c r="H36" s="15">
        <v>60000</v>
      </c>
      <c r="I36" s="15">
        <f t="shared" si="1"/>
        <v>60000</v>
      </c>
      <c r="J36" s="13" t="s">
        <v>75</v>
      </c>
      <c r="N36" s="7" t="str">
        <f ca="1">IFERROR(__xludf.DUMMYFUNCTION("""COMPUTED_VALUE"""),"41")</f>
        <v>41</v>
      </c>
      <c r="O36" s="7">
        <f ca="1">IFERROR(__xludf.DUMMYFUNCTION("""COMPUTED_VALUE"""),12)</f>
        <v>12</v>
      </c>
      <c r="P36" s="7" t="str">
        <f ca="1">IFERROR(__xludf.DUMMYFUNCTION("""COMPUTED_VALUE"""),"Stock Dagangan")</f>
        <v>Stock Dagangan</v>
      </c>
      <c r="Q36" s="7" t="str">
        <f ca="1">IFERROR(__xludf.DUMMYFUNCTION("""COMPUTED_VALUE"""),"Catokan mini ")</f>
        <v xml:space="preserve">Catokan mini </v>
      </c>
      <c r="R36" s="7" t="str">
        <f ca="1">IFERROR(__xludf.DUMMYFUNCTION("""COMPUTED_VALUE"""),"Reccuring")</f>
        <v>Reccuring</v>
      </c>
      <c r="S36" s="7">
        <f ca="1">IFERROR(__xludf.DUMMYFUNCTION("""COMPUTED_VALUE"""),1)</f>
        <v>1</v>
      </c>
      <c r="T36" s="16" t="str">
        <f ca="1">IFERROR(__xludf.DUMMYFUNCTION("""COMPUTED_VALUE"""),"paket")</f>
        <v>paket</v>
      </c>
      <c r="U36" s="16">
        <f ca="1">IFERROR(__xludf.DUMMYFUNCTION("""COMPUTED_VALUE"""),200000)</f>
        <v>200000</v>
      </c>
      <c r="V36" s="16">
        <f ca="1">IFERROR(__xludf.DUMMYFUNCTION("""COMPUTED_VALUE"""),200000)</f>
        <v>200000</v>
      </c>
      <c r="W36" s="7" t="str">
        <f ca="1">IFERROR(__xludf.DUMMYFUNCTION("""COMPUTED_VALUE"""),"KeiKei Shop")</f>
        <v>KeiKei Shop</v>
      </c>
    </row>
    <row r="37" spans="1:23" ht="12.5" x14ac:dyDescent="0.25">
      <c r="A37" s="12" t="s">
        <v>131</v>
      </c>
      <c r="B37" s="12">
        <v>1</v>
      </c>
      <c r="C37" s="12" t="s">
        <v>73</v>
      </c>
      <c r="D37" s="21" t="s">
        <v>740</v>
      </c>
      <c r="E37" s="12" t="s">
        <v>22</v>
      </c>
      <c r="F37" s="12">
        <v>1</v>
      </c>
      <c r="G37" s="14" t="s">
        <v>133</v>
      </c>
      <c r="H37" s="15">
        <v>18000</v>
      </c>
      <c r="I37" s="15">
        <f t="shared" si="1"/>
        <v>18000</v>
      </c>
      <c r="J37" s="13" t="s">
        <v>742</v>
      </c>
      <c r="N37" s="7" t="str">
        <f ca="1">IFERROR(__xludf.DUMMYFUNCTION("""COMPUTED_VALUE"""),"42")</f>
        <v>42</v>
      </c>
      <c r="O37" s="7">
        <f ca="1">IFERROR(__xludf.DUMMYFUNCTION("""COMPUTED_VALUE"""),12)</f>
        <v>12</v>
      </c>
      <c r="P37" s="7" t="str">
        <f ca="1">IFERROR(__xludf.DUMMYFUNCTION("""COMPUTED_VALUE"""),"Stock Dagangan")</f>
        <v>Stock Dagangan</v>
      </c>
      <c r="Q37" s="7" t="str">
        <f ca="1">IFERROR(__xludf.DUMMYFUNCTION("""COMPUTED_VALUE"""),"Headband")</f>
        <v>Headband</v>
      </c>
      <c r="R37" s="7" t="str">
        <f ca="1">IFERROR(__xludf.DUMMYFUNCTION("""COMPUTED_VALUE"""),"Reccuring")</f>
        <v>Reccuring</v>
      </c>
      <c r="S37" s="7">
        <f ca="1">IFERROR(__xludf.DUMMYFUNCTION("""COMPUTED_VALUE"""),1)</f>
        <v>1</v>
      </c>
      <c r="T37" s="16" t="str">
        <f ca="1">IFERROR(__xludf.DUMMYFUNCTION("""COMPUTED_VALUE"""),"paket")</f>
        <v>paket</v>
      </c>
      <c r="U37" s="16">
        <f ca="1">IFERROR(__xludf.DUMMYFUNCTION("""COMPUTED_VALUE"""),215000)</f>
        <v>215000</v>
      </c>
      <c r="V37" s="16">
        <f ca="1">IFERROR(__xludf.DUMMYFUNCTION("""COMPUTED_VALUE"""),215000)</f>
        <v>215000</v>
      </c>
      <c r="W37" s="7" t="str">
        <f ca="1">IFERROR(__xludf.DUMMYFUNCTION("""COMPUTED_VALUE"""),"Ce es Olshop ")</f>
        <v xml:space="preserve">Ce es Olshop </v>
      </c>
    </row>
    <row r="38" spans="1:23" ht="12.5" x14ac:dyDescent="0.25">
      <c r="A38" s="12" t="s">
        <v>135</v>
      </c>
      <c r="B38" s="12">
        <v>1</v>
      </c>
      <c r="C38" s="12" t="s">
        <v>73</v>
      </c>
      <c r="D38" s="21" t="s">
        <v>745</v>
      </c>
      <c r="E38" s="12" t="s">
        <v>22</v>
      </c>
      <c r="F38" s="12">
        <v>1</v>
      </c>
      <c r="G38" s="14" t="s">
        <v>133</v>
      </c>
      <c r="H38" s="15">
        <v>10000</v>
      </c>
      <c r="I38" s="15">
        <f t="shared" si="1"/>
        <v>10000</v>
      </c>
      <c r="J38" s="13" t="s">
        <v>746</v>
      </c>
      <c r="N38" s="7" t="str">
        <f ca="1">IFERROR(__xludf.DUMMYFUNCTION("""COMPUTED_VALUE"""),"44")</f>
        <v>44</v>
      </c>
      <c r="O38" s="7">
        <f ca="1">IFERROR(__xludf.DUMMYFUNCTION("""COMPUTED_VALUE"""),12)</f>
        <v>12</v>
      </c>
      <c r="P38" s="7" t="str">
        <f ca="1">IFERROR(__xludf.DUMMYFUNCTION("""COMPUTED_VALUE"""),"Stock Dagangan")</f>
        <v>Stock Dagangan</v>
      </c>
      <c r="Q38" s="7" t="str">
        <f ca="1">IFERROR(__xludf.DUMMYFUNCTION("""COMPUTED_VALUE"""),"Lego")</f>
        <v>Lego</v>
      </c>
      <c r="R38" s="7" t="str">
        <f ca="1">IFERROR(__xludf.DUMMYFUNCTION("""COMPUTED_VALUE"""),"Reccuring")</f>
        <v>Reccuring</v>
      </c>
      <c r="S38" s="7">
        <f ca="1">IFERROR(__xludf.DUMMYFUNCTION("""COMPUTED_VALUE"""),1)</f>
        <v>1</v>
      </c>
      <c r="T38" s="16" t="str">
        <f ca="1">IFERROR(__xludf.DUMMYFUNCTION("""COMPUTED_VALUE"""),"paket")</f>
        <v>paket</v>
      </c>
      <c r="U38" s="16">
        <f ca="1">IFERROR(__xludf.DUMMYFUNCTION("""COMPUTED_VALUE"""),90000)</f>
        <v>90000</v>
      </c>
      <c r="V38" s="16">
        <f ca="1">IFERROR(__xludf.DUMMYFUNCTION("""COMPUTED_VALUE"""),90000)</f>
        <v>90000</v>
      </c>
      <c r="W38" s="7" t="str">
        <f ca="1">IFERROR(__xludf.DUMMYFUNCTION("""COMPUTED_VALUE"""),"Bliss Toys ")</f>
        <v xml:space="preserve">Bliss Toys </v>
      </c>
    </row>
    <row r="39" spans="1:23" ht="12.5" x14ac:dyDescent="0.25">
      <c r="A39" s="12" t="s">
        <v>138</v>
      </c>
      <c r="B39" s="12">
        <v>1</v>
      </c>
      <c r="C39" s="12" t="s">
        <v>51</v>
      </c>
      <c r="D39" s="21" t="s">
        <v>747</v>
      </c>
      <c r="E39" s="12" t="s">
        <v>22</v>
      </c>
      <c r="F39" s="12">
        <v>1</v>
      </c>
      <c r="G39" s="14" t="s">
        <v>23</v>
      </c>
      <c r="H39" s="15">
        <v>256000</v>
      </c>
      <c r="I39" s="15">
        <f t="shared" si="1"/>
        <v>256000</v>
      </c>
      <c r="J39" s="13" t="s">
        <v>664</v>
      </c>
      <c r="N39" s="7" t="str">
        <f ca="1">IFERROR(__xludf.DUMMYFUNCTION("""COMPUTED_VALUE"""),"45")</f>
        <v>45</v>
      </c>
      <c r="O39" s="7">
        <f ca="1">IFERROR(__xludf.DUMMYFUNCTION("""COMPUTED_VALUE"""),12)</f>
        <v>12</v>
      </c>
      <c r="P39" s="7" t="str">
        <f ca="1">IFERROR(__xludf.DUMMYFUNCTION("""COMPUTED_VALUE"""),"Stock Dagangan")</f>
        <v>Stock Dagangan</v>
      </c>
      <c r="Q39" s="7" t="str">
        <f ca="1">IFERROR(__xludf.DUMMYFUNCTION("""COMPUTED_VALUE"""),"Scrunchie")</f>
        <v>Scrunchie</v>
      </c>
      <c r="R39" s="7" t="str">
        <f ca="1">IFERROR(__xludf.DUMMYFUNCTION("""COMPUTED_VALUE"""),"Reccuring")</f>
        <v>Reccuring</v>
      </c>
      <c r="S39" s="7">
        <f ca="1">IFERROR(__xludf.DUMMYFUNCTION("""COMPUTED_VALUE"""),1)</f>
        <v>1</v>
      </c>
      <c r="T39" s="16" t="str">
        <f ca="1">IFERROR(__xludf.DUMMYFUNCTION("""COMPUTED_VALUE"""),"paket")</f>
        <v>paket</v>
      </c>
      <c r="U39" s="16">
        <f ca="1">IFERROR(__xludf.DUMMYFUNCTION("""COMPUTED_VALUE"""),90000)</f>
        <v>90000</v>
      </c>
      <c r="V39" s="16">
        <f ca="1">IFERROR(__xludf.DUMMYFUNCTION("""COMPUTED_VALUE"""),90000)</f>
        <v>90000</v>
      </c>
      <c r="W39" s="7" t="str">
        <f ca="1">IFERROR(__xludf.DUMMYFUNCTION("""COMPUTED_VALUE"""),"cloopy id")</f>
        <v>cloopy id</v>
      </c>
    </row>
    <row r="40" spans="1:23" ht="12.5" x14ac:dyDescent="0.25">
      <c r="A40" s="12" t="s">
        <v>141</v>
      </c>
      <c r="B40" s="12">
        <v>1</v>
      </c>
      <c r="C40" s="12" t="s">
        <v>51</v>
      </c>
      <c r="D40" s="21" t="s">
        <v>724</v>
      </c>
      <c r="E40" s="12" t="s">
        <v>22</v>
      </c>
      <c r="F40" s="12">
        <v>1</v>
      </c>
      <c r="G40" s="14" t="s">
        <v>23</v>
      </c>
      <c r="H40" s="15">
        <v>430000</v>
      </c>
      <c r="I40" s="15">
        <f t="shared" si="1"/>
        <v>430000</v>
      </c>
      <c r="J40" s="13" t="s">
        <v>748</v>
      </c>
      <c r="N40" s="7" t="str">
        <f ca="1">IFERROR(__xludf.DUMMYFUNCTION("""COMPUTED_VALUE"""),"46")</f>
        <v>46</v>
      </c>
      <c r="O40" s="7">
        <f ca="1">IFERROR(__xludf.DUMMYFUNCTION("""COMPUTED_VALUE"""),12)</f>
        <v>12</v>
      </c>
      <c r="P40" s="7" t="str">
        <f ca="1">IFERROR(__xludf.DUMMYFUNCTION("""COMPUTED_VALUE"""),"Stock Dagangan")</f>
        <v>Stock Dagangan</v>
      </c>
      <c r="Q40" s="7" t="str">
        <f ca="1">IFERROR(__xludf.DUMMYFUNCTION("""COMPUTED_VALUE"""),"pelindung charger ")</f>
        <v xml:space="preserve">pelindung charger </v>
      </c>
      <c r="R40" s="7" t="str">
        <f ca="1">IFERROR(__xludf.DUMMYFUNCTION("""COMPUTED_VALUE"""),"Reccuring")</f>
        <v>Reccuring</v>
      </c>
      <c r="S40" s="7">
        <f ca="1">IFERROR(__xludf.DUMMYFUNCTION("""COMPUTED_VALUE"""),1)</f>
        <v>1</v>
      </c>
      <c r="T40" s="16" t="str">
        <f ca="1">IFERROR(__xludf.DUMMYFUNCTION("""COMPUTED_VALUE"""),"paket")</f>
        <v>paket</v>
      </c>
      <c r="U40" s="16">
        <f ca="1">IFERROR(__xludf.DUMMYFUNCTION("""COMPUTED_VALUE"""),200000)</f>
        <v>200000</v>
      </c>
      <c r="V40" s="16">
        <f ca="1">IFERROR(__xludf.DUMMYFUNCTION("""COMPUTED_VALUE"""),200000)</f>
        <v>200000</v>
      </c>
      <c r="W40" s="7" t="str">
        <f ca="1">IFERROR(__xludf.DUMMYFUNCTION("""COMPUTED_VALUE"""),"Merah dost official shop ")</f>
        <v xml:space="preserve">Merah dost official shop </v>
      </c>
    </row>
    <row r="41" spans="1:23" ht="12.5" x14ac:dyDescent="0.25">
      <c r="A41" s="12" t="s">
        <v>144</v>
      </c>
      <c r="B41" s="12">
        <v>2</v>
      </c>
      <c r="C41" s="12" t="s">
        <v>51</v>
      </c>
      <c r="D41" s="21" t="s">
        <v>749</v>
      </c>
      <c r="E41" s="12" t="s">
        <v>22</v>
      </c>
      <c r="F41" s="12">
        <v>1</v>
      </c>
      <c r="G41" s="14" t="s">
        <v>81</v>
      </c>
      <c r="H41" s="15">
        <v>340000</v>
      </c>
      <c r="I41" s="15">
        <f t="shared" si="1"/>
        <v>340000</v>
      </c>
      <c r="J41" s="13" t="s">
        <v>459</v>
      </c>
      <c r="N41" s="7" t="str">
        <f ca="1">IFERROR(__xludf.DUMMYFUNCTION("""COMPUTED_VALUE"""),"47")</f>
        <v>47</v>
      </c>
      <c r="O41" s="7">
        <f ca="1">IFERROR(__xludf.DUMMYFUNCTION("""COMPUTED_VALUE"""),12)</f>
        <v>12</v>
      </c>
      <c r="P41" s="7" t="str">
        <f ca="1">IFERROR(__xludf.DUMMYFUNCTION("""COMPUTED_VALUE"""),"Stock Dagangan")</f>
        <v>Stock Dagangan</v>
      </c>
      <c r="Q41" s="7" t="str">
        <f ca="1">IFERROR(__xludf.DUMMYFUNCTION("""COMPUTED_VALUE"""),"Jam Tangan")</f>
        <v>Jam Tangan</v>
      </c>
      <c r="R41" s="7" t="str">
        <f ca="1">IFERROR(__xludf.DUMMYFUNCTION("""COMPUTED_VALUE"""),"Reccuring")</f>
        <v>Reccuring</v>
      </c>
      <c r="S41" s="7">
        <f ca="1">IFERROR(__xludf.DUMMYFUNCTION("""COMPUTED_VALUE"""),1)</f>
        <v>1</v>
      </c>
      <c r="T41" s="16" t="str">
        <f ca="1">IFERROR(__xludf.DUMMYFUNCTION("""COMPUTED_VALUE"""),"paket")</f>
        <v>paket</v>
      </c>
      <c r="U41" s="16">
        <f ca="1">IFERROR(__xludf.DUMMYFUNCTION("""COMPUTED_VALUE"""),200000)</f>
        <v>200000</v>
      </c>
      <c r="V41" s="16">
        <f ca="1">IFERROR(__xludf.DUMMYFUNCTION("""COMPUTED_VALUE"""),200000)</f>
        <v>200000</v>
      </c>
      <c r="W41" s="7" t="str">
        <f ca="1">IFERROR(__xludf.DUMMYFUNCTION("""COMPUTED_VALUE"""),"JamTang Watch Shop")</f>
        <v>JamTang Watch Shop</v>
      </c>
    </row>
    <row r="42" spans="1:23" ht="12.5" x14ac:dyDescent="0.25">
      <c r="A42" s="12" t="s">
        <v>147</v>
      </c>
      <c r="B42" s="12">
        <v>2</v>
      </c>
      <c r="C42" s="12" t="s">
        <v>83</v>
      </c>
      <c r="D42" s="21" t="s">
        <v>105</v>
      </c>
      <c r="E42" s="12" t="s">
        <v>22</v>
      </c>
      <c r="F42" s="12">
        <v>1</v>
      </c>
      <c r="G42" s="14" t="s">
        <v>81</v>
      </c>
      <c r="H42" s="15">
        <v>245000</v>
      </c>
      <c r="I42" s="15">
        <f t="shared" si="1"/>
        <v>245000</v>
      </c>
      <c r="J42" s="13" t="s">
        <v>386</v>
      </c>
      <c r="N42" s="7" t="str">
        <f ca="1">IFERROR(__xludf.DUMMYFUNCTION("""COMPUTED_VALUE"""),"49")</f>
        <v>49</v>
      </c>
      <c r="O42" s="7">
        <f ca="1">IFERROR(__xludf.DUMMYFUNCTION("""COMPUTED_VALUE"""),13)</f>
        <v>13</v>
      </c>
      <c r="P42" s="7" t="str">
        <f ca="1">IFERROR(__xludf.DUMMYFUNCTION("""COMPUTED_VALUE"""),"Stock Dagangan")</f>
        <v>Stock Dagangan</v>
      </c>
      <c r="Q42" s="7" t="str">
        <f ca="1">IFERROR(__xludf.DUMMYFUNCTION("""COMPUTED_VALUE"""),"Gelang manik serut ")</f>
        <v xml:space="preserve">Gelang manik serut </v>
      </c>
      <c r="R42" s="7" t="str">
        <f ca="1">IFERROR(__xludf.DUMMYFUNCTION("""COMPUTED_VALUE"""),"Reccuring")</f>
        <v>Reccuring</v>
      </c>
      <c r="S42" s="7">
        <f ca="1">IFERROR(__xludf.DUMMYFUNCTION("""COMPUTED_VALUE"""),1)</f>
        <v>1</v>
      </c>
      <c r="T42" s="16" t="str">
        <f ca="1">IFERROR(__xludf.DUMMYFUNCTION("""COMPUTED_VALUE"""),"paket")</f>
        <v>paket</v>
      </c>
      <c r="U42" s="16">
        <f ca="1">IFERROR(__xludf.DUMMYFUNCTION("""COMPUTED_VALUE"""),50000)</f>
        <v>50000</v>
      </c>
      <c r="V42" s="16">
        <f ca="1">IFERROR(__xludf.DUMMYFUNCTION("""COMPUTED_VALUE"""),50000)</f>
        <v>50000</v>
      </c>
      <c r="W42" s="7" t="str">
        <f ca="1">IFERROR(__xludf.DUMMYFUNCTION("""COMPUTED_VALUE"""),"Fairytale Acc")</f>
        <v>Fairytale Acc</v>
      </c>
    </row>
    <row r="43" spans="1:23" ht="12.5" x14ac:dyDescent="0.25">
      <c r="A43" s="12" t="s">
        <v>150</v>
      </c>
      <c r="B43" s="12">
        <v>2</v>
      </c>
      <c r="C43" s="12" t="s">
        <v>51</v>
      </c>
      <c r="D43" s="21" t="s">
        <v>750</v>
      </c>
      <c r="E43" s="12" t="s">
        <v>22</v>
      </c>
      <c r="F43" s="12">
        <v>1</v>
      </c>
      <c r="G43" s="14" t="s">
        <v>81</v>
      </c>
      <c r="H43" s="15">
        <v>720000</v>
      </c>
      <c r="I43" s="15">
        <f t="shared" si="1"/>
        <v>720000</v>
      </c>
      <c r="J43" s="13" t="s">
        <v>751</v>
      </c>
      <c r="N43" s="7" t="str">
        <f ca="1">IFERROR(__xludf.DUMMYFUNCTION("""COMPUTED_VALUE"""),"51")</f>
        <v>51</v>
      </c>
      <c r="O43" s="7">
        <f ca="1">IFERROR(__xludf.DUMMYFUNCTION("""COMPUTED_VALUE"""),13)</f>
        <v>13</v>
      </c>
      <c r="P43" s="7" t="str">
        <f ca="1">IFERROR(__xludf.DUMMYFUNCTION("""COMPUTED_VALUE"""),"Stock Dagangan")</f>
        <v>Stock Dagangan</v>
      </c>
      <c r="Q43" s="7" t="str">
        <f ca="1">IFERROR(__xludf.DUMMYFUNCTION("""COMPUTED_VALUE"""),"Kipas Portable")</f>
        <v>Kipas Portable</v>
      </c>
      <c r="R43" s="7" t="str">
        <f ca="1">IFERROR(__xludf.DUMMYFUNCTION("""COMPUTED_VALUE"""),"Reccuring")</f>
        <v>Reccuring</v>
      </c>
      <c r="S43" s="7">
        <f ca="1">IFERROR(__xludf.DUMMYFUNCTION("""COMPUTED_VALUE"""),1)</f>
        <v>1</v>
      </c>
      <c r="T43" s="16" t="str">
        <f ca="1">IFERROR(__xludf.DUMMYFUNCTION("""COMPUTED_VALUE"""),"paket")</f>
        <v>paket</v>
      </c>
      <c r="U43" s="16">
        <f ca="1">IFERROR(__xludf.DUMMYFUNCTION("""COMPUTED_VALUE"""),170000)</f>
        <v>170000</v>
      </c>
      <c r="V43" s="16">
        <f ca="1">IFERROR(__xludf.DUMMYFUNCTION("""COMPUTED_VALUE"""),170000)</f>
        <v>170000</v>
      </c>
      <c r="W43" s="7" t="str">
        <f ca="1">IFERROR(__xludf.DUMMYFUNCTION("""COMPUTED_VALUE"""),"Kfvonardo")</f>
        <v>Kfvonardo</v>
      </c>
    </row>
    <row r="44" spans="1:23" ht="12.5" x14ac:dyDescent="0.25">
      <c r="A44" s="12" t="s">
        <v>153</v>
      </c>
      <c r="B44" s="12">
        <v>4</v>
      </c>
      <c r="C44" s="12" t="s">
        <v>83</v>
      </c>
      <c r="D44" s="21" t="s">
        <v>724</v>
      </c>
      <c r="E44" s="12" t="s">
        <v>22</v>
      </c>
      <c r="F44" s="12">
        <v>1</v>
      </c>
      <c r="G44" s="14" t="s">
        <v>81</v>
      </c>
      <c r="H44" s="15">
        <v>70000</v>
      </c>
      <c r="I44" s="15">
        <f t="shared" si="1"/>
        <v>70000</v>
      </c>
      <c r="J44" s="13" t="s">
        <v>617</v>
      </c>
      <c r="N44" s="7" t="str">
        <f ca="1">IFERROR(__xludf.DUMMYFUNCTION("""COMPUTED_VALUE"""),"53")</f>
        <v>53</v>
      </c>
      <c r="O44" s="7">
        <f ca="1">IFERROR(__xludf.DUMMYFUNCTION("""COMPUTED_VALUE"""),14)</f>
        <v>14</v>
      </c>
      <c r="P44" s="7" t="str">
        <f ca="1">IFERROR(__xludf.DUMMYFUNCTION("""COMPUTED_VALUE"""),"Stock Dagangan")</f>
        <v>Stock Dagangan</v>
      </c>
      <c r="Q44" s="7" t="str">
        <f ca="1">IFERROR(__xludf.DUMMYFUNCTION("""COMPUTED_VALUE"""),"Gelang kerang serut")</f>
        <v>Gelang kerang serut</v>
      </c>
      <c r="R44" s="7" t="str">
        <f ca="1">IFERROR(__xludf.DUMMYFUNCTION("""COMPUTED_VALUE"""),"Reccuring")</f>
        <v>Reccuring</v>
      </c>
      <c r="S44" s="7">
        <f ca="1">IFERROR(__xludf.DUMMYFUNCTION("""COMPUTED_VALUE"""),1)</f>
        <v>1</v>
      </c>
      <c r="T44" s="16" t="str">
        <f ca="1">IFERROR(__xludf.DUMMYFUNCTION("""COMPUTED_VALUE"""),"paket")</f>
        <v>paket</v>
      </c>
      <c r="U44" s="16">
        <f ca="1">IFERROR(__xludf.DUMMYFUNCTION("""COMPUTED_VALUE"""),90000)</f>
        <v>90000</v>
      </c>
      <c r="V44" s="16">
        <f ca="1">IFERROR(__xludf.DUMMYFUNCTION("""COMPUTED_VALUE"""),90000)</f>
        <v>90000</v>
      </c>
      <c r="W44" s="7" t="str">
        <f ca="1">IFERROR(__xludf.DUMMYFUNCTION("""COMPUTED_VALUE"""),"Sulihtiaa")</f>
        <v>Sulihtiaa</v>
      </c>
    </row>
    <row r="45" spans="1:23" ht="12.5" x14ac:dyDescent="0.25">
      <c r="A45" s="12" t="s">
        <v>156</v>
      </c>
      <c r="B45" s="12">
        <v>5</v>
      </c>
      <c r="C45" s="12" t="s">
        <v>51</v>
      </c>
      <c r="D45" s="21" t="s">
        <v>752</v>
      </c>
      <c r="E45" s="12" t="s">
        <v>22</v>
      </c>
      <c r="F45" s="12">
        <v>1</v>
      </c>
      <c r="G45" s="14" t="s">
        <v>81</v>
      </c>
      <c r="H45" s="15">
        <v>540000</v>
      </c>
      <c r="I45" s="15">
        <f t="shared" si="1"/>
        <v>540000</v>
      </c>
      <c r="J45" s="13" t="s">
        <v>459</v>
      </c>
      <c r="N45" s="7" t="str">
        <f ca="1">IFERROR(__xludf.DUMMYFUNCTION("""COMPUTED_VALUE"""),"55")</f>
        <v>55</v>
      </c>
      <c r="O45" s="7">
        <f ca="1">IFERROR(__xludf.DUMMYFUNCTION("""COMPUTED_VALUE"""),15)</f>
        <v>15</v>
      </c>
      <c r="P45" s="7" t="str">
        <f ca="1">IFERROR(__xludf.DUMMYFUNCTION("""COMPUTED_VALUE"""),"Stock Dagangan")</f>
        <v>Stock Dagangan</v>
      </c>
      <c r="Q45" s="7" t="str">
        <f ca="1">IFERROR(__xludf.DUMMYFUNCTION("""COMPUTED_VALUE"""),"Cermin lipat")</f>
        <v>Cermin lipat</v>
      </c>
      <c r="R45" s="7" t="str">
        <f ca="1">IFERROR(__xludf.DUMMYFUNCTION("""COMPUTED_VALUE"""),"Reccuring")</f>
        <v>Reccuring</v>
      </c>
      <c r="S45" s="7">
        <f ca="1">IFERROR(__xludf.DUMMYFUNCTION("""COMPUTED_VALUE"""),1)</f>
        <v>1</v>
      </c>
      <c r="T45" s="16" t="str">
        <f ca="1">IFERROR(__xludf.DUMMYFUNCTION("""COMPUTED_VALUE"""),"paket")</f>
        <v>paket</v>
      </c>
      <c r="U45" s="16">
        <f ca="1">IFERROR(__xludf.DUMMYFUNCTION("""COMPUTED_VALUE"""),285000)</f>
        <v>285000</v>
      </c>
      <c r="V45" s="16">
        <f ca="1">IFERROR(__xludf.DUMMYFUNCTION("""COMPUTED_VALUE"""),285000)</f>
        <v>285000</v>
      </c>
      <c r="W45" s="7" t="str">
        <f ca="1">IFERROR(__xludf.DUMMYFUNCTION("""COMPUTED_VALUE"""),"Grosir Official Shop ")</f>
        <v xml:space="preserve">Grosir Official Shop </v>
      </c>
    </row>
    <row r="46" spans="1:23" ht="12.5" x14ac:dyDescent="0.25">
      <c r="A46" s="12" t="s">
        <v>158</v>
      </c>
      <c r="B46" s="12">
        <v>5</v>
      </c>
      <c r="C46" s="12" t="s">
        <v>83</v>
      </c>
      <c r="D46" s="21" t="s">
        <v>105</v>
      </c>
      <c r="E46" s="12" t="s">
        <v>22</v>
      </c>
      <c r="F46" s="12">
        <v>1</v>
      </c>
      <c r="G46" s="14" t="s">
        <v>81</v>
      </c>
      <c r="H46" s="15">
        <v>80000</v>
      </c>
      <c r="I46" s="15">
        <f t="shared" si="1"/>
        <v>80000</v>
      </c>
      <c r="J46" s="13" t="s">
        <v>386</v>
      </c>
      <c r="N46" s="7" t="str">
        <f ca="1">IFERROR(__xludf.DUMMYFUNCTION("""COMPUTED_VALUE"""),"56")</f>
        <v>56</v>
      </c>
      <c r="O46" s="7">
        <f ca="1">IFERROR(__xludf.DUMMYFUNCTION("""COMPUTED_VALUE"""),15)</f>
        <v>15</v>
      </c>
      <c r="P46" s="7" t="str">
        <f ca="1">IFERROR(__xludf.DUMMYFUNCTION("""COMPUTED_VALUE"""),"Stock Dagangan")</f>
        <v>Stock Dagangan</v>
      </c>
      <c r="Q46" s="7" t="str">
        <f ca="1">IFERROR(__xludf.DUMMYFUNCTION("""COMPUTED_VALUE"""),"Gelang pandora")</f>
        <v>Gelang pandora</v>
      </c>
      <c r="R46" s="7" t="str">
        <f ca="1">IFERROR(__xludf.DUMMYFUNCTION("""COMPUTED_VALUE"""),"Reccuring")</f>
        <v>Reccuring</v>
      </c>
      <c r="S46" s="7">
        <f ca="1">IFERROR(__xludf.DUMMYFUNCTION("""COMPUTED_VALUE"""),1)</f>
        <v>1</v>
      </c>
      <c r="T46" s="16" t="str">
        <f ca="1">IFERROR(__xludf.DUMMYFUNCTION("""COMPUTED_VALUE"""),"paket")</f>
        <v>paket</v>
      </c>
      <c r="U46" s="16">
        <f ca="1">IFERROR(__xludf.DUMMYFUNCTION("""COMPUTED_VALUE"""),160000)</f>
        <v>160000</v>
      </c>
      <c r="V46" s="16">
        <f ca="1">IFERROR(__xludf.DUMMYFUNCTION("""COMPUTED_VALUE"""),160000)</f>
        <v>160000</v>
      </c>
      <c r="W46" s="7" t="str">
        <f ca="1">IFERROR(__xludf.DUMMYFUNCTION("""COMPUTED_VALUE"""),"ashiyajewellry")</f>
        <v>ashiyajewellry</v>
      </c>
    </row>
    <row r="47" spans="1:23" ht="12.5" x14ac:dyDescent="0.25">
      <c r="A47" s="12" t="s">
        <v>161</v>
      </c>
      <c r="B47" s="12">
        <v>8</v>
      </c>
      <c r="C47" s="12" t="s">
        <v>83</v>
      </c>
      <c r="D47" s="21" t="s">
        <v>753</v>
      </c>
      <c r="E47" s="12" t="s">
        <v>22</v>
      </c>
      <c r="F47" s="12">
        <v>1</v>
      </c>
      <c r="G47" s="14" t="s">
        <v>81</v>
      </c>
      <c r="H47" s="15">
        <v>90000</v>
      </c>
      <c r="I47" s="15">
        <f t="shared" si="1"/>
        <v>90000</v>
      </c>
      <c r="J47" s="13" t="s">
        <v>106</v>
      </c>
      <c r="N47" s="7" t="str">
        <f ca="1">IFERROR(__xludf.DUMMYFUNCTION("""COMPUTED_VALUE"""),"57")</f>
        <v>57</v>
      </c>
      <c r="O47" s="7">
        <f ca="1">IFERROR(__xludf.DUMMYFUNCTION("""COMPUTED_VALUE"""),15)</f>
        <v>15</v>
      </c>
      <c r="P47" s="7" t="str">
        <f ca="1">IFERROR(__xludf.DUMMYFUNCTION("""COMPUTED_VALUE"""),"Stock Dagangan")</f>
        <v>Stock Dagangan</v>
      </c>
      <c r="Q47" s="7" t="str">
        <f ca="1">IFERROR(__xludf.DUMMYFUNCTION("""COMPUTED_VALUE"""),"kalung hati")</f>
        <v>kalung hati</v>
      </c>
      <c r="R47" s="7" t="str">
        <f ca="1">IFERROR(__xludf.DUMMYFUNCTION("""COMPUTED_VALUE"""),"Reccuring")</f>
        <v>Reccuring</v>
      </c>
      <c r="S47" s="7">
        <f ca="1">IFERROR(__xludf.DUMMYFUNCTION("""COMPUTED_VALUE"""),1)</f>
        <v>1</v>
      </c>
      <c r="T47" s="16" t="str">
        <f ca="1">IFERROR(__xludf.DUMMYFUNCTION("""COMPUTED_VALUE"""),"paket")</f>
        <v>paket</v>
      </c>
      <c r="U47" s="16">
        <f ca="1">IFERROR(__xludf.DUMMYFUNCTION("""COMPUTED_VALUE"""),155000)</f>
        <v>155000</v>
      </c>
      <c r="V47" s="16">
        <f ca="1">IFERROR(__xludf.DUMMYFUNCTION("""COMPUTED_VALUE"""),155000)</f>
        <v>155000</v>
      </c>
      <c r="W47" s="7" t="str">
        <f ca="1">IFERROR(__xludf.DUMMYFUNCTION("""COMPUTED_VALUE"""),"RAsberries")</f>
        <v>RAsberries</v>
      </c>
    </row>
    <row r="48" spans="1:23" ht="12.5" x14ac:dyDescent="0.25">
      <c r="A48" s="12">
        <v>29</v>
      </c>
      <c r="B48" s="12">
        <v>8</v>
      </c>
      <c r="C48" s="12" t="s">
        <v>51</v>
      </c>
      <c r="D48" s="21" t="s">
        <v>754</v>
      </c>
      <c r="E48" s="12" t="s">
        <v>22</v>
      </c>
      <c r="F48" s="12">
        <v>1</v>
      </c>
      <c r="G48" s="14" t="s">
        <v>81</v>
      </c>
      <c r="H48" s="15">
        <v>575000</v>
      </c>
      <c r="I48" s="15">
        <f t="shared" si="1"/>
        <v>575000</v>
      </c>
      <c r="J48" s="13" t="s">
        <v>459</v>
      </c>
      <c r="N48" s="7" t="str">
        <f ca="1">IFERROR(__xludf.DUMMYFUNCTION("""COMPUTED_VALUE"""),"58")</f>
        <v>58</v>
      </c>
      <c r="O48" s="7">
        <f ca="1">IFERROR(__xludf.DUMMYFUNCTION("""COMPUTED_VALUE"""),16)</f>
        <v>16</v>
      </c>
      <c r="P48" s="7" t="str">
        <f ca="1">IFERROR(__xludf.DUMMYFUNCTION("""COMPUTED_VALUE"""),"Stock Dagangan")</f>
        <v>Stock Dagangan</v>
      </c>
      <c r="Q48" s="7" t="str">
        <f ca="1">IFERROR(__xludf.DUMMYFUNCTION("""COMPUTED_VALUE"""),"kotak pensil dll")</f>
        <v>kotak pensil dll</v>
      </c>
      <c r="R48" s="7" t="str">
        <f ca="1">IFERROR(__xludf.DUMMYFUNCTION("""COMPUTED_VALUE"""),"Reccuring")</f>
        <v>Reccuring</v>
      </c>
      <c r="S48" s="7">
        <f ca="1">IFERROR(__xludf.DUMMYFUNCTION("""COMPUTED_VALUE"""),1)</f>
        <v>1</v>
      </c>
      <c r="T48" s="16" t="str">
        <f ca="1">IFERROR(__xludf.DUMMYFUNCTION("""COMPUTED_VALUE"""),"paket")</f>
        <v>paket</v>
      </c>
      <c r="U48" s="16">
        <f ca="1">IFERROR(__xludf.DUMMYFUNCTION("""COMPUTED_VALUE"""),370000)</f>
        <v>370000</v>
      </c>
      <c r="V48" s="16">
        <f ca="1">IFERROR(__xludf.DUMMYFUNCTION("""COMPUTED_VALUE"""),370000)</f>
        <v>370000</v>
      </c>
      <c r="W48" s="7" t="str">
        <f ca="1">IFERROR(__xludf.DUMMYFUNCTION("""COMPUTED_VALUE"""),"KIKIDO")</f>
        <v>KIKIDO</v>
      </c>
    </row>
    <row r="49" spans="1:23" ht="12.5" x14ac:dyDescent="0.25">
      <c r="A49" s="12" t="s">
        <v>166</v>
      </c>
      <c r="B49" s="12">
        <v>9</v>
      </c>
      <c r="C49" s="12" t="s">
        <v>83</v>
      </c>
      <c r="D49" s="21" t="s">
        <v>755</v>
      </c>
      <c r="E49" s="12" t="s">
        <v>22</v>
      </c>
      <c r="F49" s="12">
        <v>1</v>
      </c>
      <c r="G49" s="14" t="s">
        <v>81</v>
      </c>
      <c r="H49" s="15">
        <v>175000</v>
      </c>
      <c r="I49" s="15">
        <f t="shared" si="1"/>
        <v>175000</v>
      </c>
      <c r="J49" s="13" t="s">
        <v>756</v>
      </c>
      <c r="N49" s="7" t="str">
        <f ca="1">IFERROR(__xludf.DUMMYFUNCTION("""COMPUTED_VALUE"""),"59")</f>
        <v>59</v>
      </c>
      <c r="O49" s="7">
        <f ca="1">IFERROR(__xludf.DUMMYFUNCTION("""COMPUTED_VALUE"""),16)</f>
        <v>16</v>
      </c>
      <c r="P49" s="7" t="str">
        <f ca="1">IFERROR(__xludf.DUMMYFUNCTION("""COMPUTED_VALUE"""),"Stock Dagangan")</f>
        <v>Stock Dagangan</v>
      </c>
      <c r="Q49" s="7" t="str">
        <f ca="1">IFERROR(__xludf.DUMMYFUNCTION("""COMPUTED_VALUE"""),"kain pantai")</f>
        <v>kain pantai</v>
      </c>
      <c r="R49" s="7" t="str">
        <f ca="1">IFERROR(__xludf.DUMMYFUNCTION("""COMPUTED_VALUE"""),"Reccuring")</f>
        <v>Reccuring</v>
      </c>
      <c r="S49" s="7">
        <f ca="1">IFERROR(__xludf.DUMMYFUNCTION("""COMPUTED_VALUE"""),1)</f>
        <v>1</v>
      </c>
      <c r="T49" s="16" t="str">
        <f ca="1">IFERROR(__xludf.DUMMYFUNCTION("""COMPUTED_VALUE"""),"paket")</f>
        <v>paket</v>
      </c>
      <c r="U49" s="16">
        <f ca="1">IFERROR(__xludf.DUMMYFUNCTION("""COMPUTED_VALUE"""),365000)</f>
        <v>365000</v>
      </c>
      <c r="V49" s="16">
        <f ca="1">IFERROR(__xludf.DUMMYFUNCTION("""COMPUTED_VALUE"""),365000)</f>
        <v>365000</v>
      </c>
      <c r="W49" s="7" t="str">
        <f ca="1">IFERROR(__xludf.DUMMYFUNCTION("""COMPUTED_VALUE"""),"GRIESA")</f>
        <v>GRIESA</v>
      </c>
    </row>
    <row r="50" spans="1:23" ht="12.5" x14ac:dyDescent="0.25">
      <c r="A50" s="12" t="s">
        <v>169</v>
      </c>
      <c r="B50" s="12">
        <v>9</v>
      </c>
      <c r="C50" s="12" t="s">
        <v>51</v>
      </c>
      <c r="D50" s="21" t="s">
        <v>757</v>
      </c>
      <c r="E50" s="12" t="s">
        <v>22</v>
      </c>
      <c r="F50" s="12">
        <v>1</v>
      </c>
      <c r="G50" s="14" t="s">
        <v>81</v>
      </c>
      <c r="H50" s="15">
        <v>470000</v>
      </c>
      <c r="I50" s="15">
        <f t="shared" si="1"/>
        <v>470000</v>
      </c>
      <c r="J50" s="13" t="s">
        <v>580</v>
      </c>
      <c r="N50" s="7" t="str">
        <f ca="1">IFERROR(__xludf.DUMMYFUNCTION("""COMPUTED_VALUE"""),"61")</f>
        <v>61</v>
      </c>
      <c r="O50" s="7">
        <f ca="1">IFERROR(__xludf.DUMMYFUNCTION("""COMPUTED_VALUE"""),17)</f>
        <v>17</v>
      </c>
      <c r="P50" s="7" t="str">
        <f ca="1">IFERROR(__xludf.DUMMYFUNCTION("""COMPUTED_VALUE"""),"Stock Dagangan")</f>
        <v>Stock Dagangan</v>
      </c>
      <c r="Q50" s="7" t="str">
        <f ca="1">IFERROR(__xludf.DUMMYFUNCTION("""COMPUTED_VALUE"""),"jepit jepun ")</f>
        <v xml:space="preserve">jepit jepun </v>
      </c>
      <c r="R50" s="7" t="str">
        <f ca="1">IFERROR(__xludf.DUMMYFUNCTION("""COMPUTED_VALUE"""),"Reccuring")</f>
        <v>Reccuring</v>
      </c>
      <c r="S50" s="7">
        <f ca="1">IFERROR(__xludf.DUMMYFUNCTION("""COMPUTED_VALUE"""),1)</f>
        <v>1</v>
      </c>
      <c r="T50" s="16" t="str">
        <f ca="1">IFERROR(__xludf.DUMMYFUNCTION("""COMPUTED_VALUE"""),"paket")</f>
        <v>paket</v>
      </c>
      <c r="U50" s="16">
        <f ca="1">IFERROR(__xludf.DUMMYFUNCTION("""COMPUTED_VALUE"""),400000)</f>
        <v>400000</v>
      </c>
      <c r="V50" s="16">
        <f ca="1">IFERROR(__xludf.DUMMYFUNCTION("""COMPUTED_VALUE"""),400000)</f>
        <v>400000</v>
      </c>
      <c r="W50" s="7" t="str">
        <f ca="1">IFERROR(__xludf.DUMMYFUNCTION("""COMPUTED_VALUE"""),"Oura Accesories")</f>
        <v>Oura Accesories</v>
      </c>
    </row>
    <row r="51" spans="1:23" ht="12.5" x14ac:dyDescent="0.25">
      <c r="A51" s="12" t="s">
        <v>171</v>
      </c>
      <c r="B51" s="12">
        <v>10</v>
      </c>
      <c r="C51" s="12" t="s">
        <v>51</v>
      </c>
      <c r="D51" s="21" t="s">
        <v>192</v>
      </c>
      <c r="E51" s="12" t="s">
        <v>22</v>
      </c>
      <c r="F51" s="12">
        <v>1</v>
      </c>
      <c r="G51" s="14" t="s">
        <v>81</v>
      </c>
      <c r="H51" s="15">
        <v>95000</v>
      </c>
      <c r="I51" s="15">
        <v>50000</v>
      </c>
      <c r="J51" s="13" t="s">
        <v>758</v>
      </c>
      <c r="N51" s="7" t="str">
        <f ca="1">IFERROR(__xludf.DUMMYFUNCTION("""COMPUTED_VALUE"""),"62")</f>
        <v>62</v>
      </c>
      <c r="O51" s="7">
        <f ca="1">IFERROR(__xludf.DUMMYFUNCTION("""COMPUTED_VALUE"""),18)</f>
        <v>18</v>
      </c>
      <c r="P51" s="7" t="str">
        <f ca="1">IFERROR(__xludf.DUMMYFUNCTION("""COMPUTED_VALUE"""),"Stock Dagangan")</f>
        <v>Stock Dagangan</v>
      </c>
      <c r="Q51" s="7" t="str">
        <f ca="1">IFERROR(__xludf.DUMMYFUNCTION("""COMPUTED_VALUE"""),"press on nails")</f>
        <v>press on nails</v>
      </c>
      <c r="R51" s="7" t="str">
        <f ca="1">IFERROR(__xludf.DUMMYFUNCTION("""COMPUTED_VALUE"""),"Reccuring")</f>
        <v>Reccuring</v>
      </c>
      <c r="S51" s="7">
        <f ca="1">IFERROR(__xludf.DUMMYFUNCTION("""COMPUTED_VALUE"""),1)</f>
        <v>1</v>
      </c>
      <c r="T51" s="16" t="str">
        <f ca="1">IFERROR(__xludf.DUMMYFUNCTION("""COMPUTED_VALUE"""),"paket")</f>
        <v>paket</v>
      </c>
      <c r="U51" s="16">
        <f ca="1">IFERROR(__xludf.DUMMYFUNCTION("""COMPUTED_VALUE"""),600000)</f>
        <v>600000</v>
      </c>
      <c r="V51" s="16">
        <f ca="1">IFERROR(__xludf.DUMMYFUNCTION("""COMPUTED_VALUE"""),600000)</f>
        <v>600000</v>
      </c>
      <c r="W51" s="7" t="str">
        <f ca="1">IFERROR(__xludf.DUMMYFUNCTION("""COMPUTED_VALUE"""),"Fairynail Tale")</f>
        <v>Fairynail Tale</v>
      </c>
    </row>
    <row r="52" spans="1:23" ht="12.5" x14ac:dyDescent="0.25">
      <c r="A52" s="12" t="s">
        <v>172</v>
      </c>
      <c r="B52" s="12">
        <v>11</v>
      </c>
      <c r="C52" s="12" t="s">
        <v>51</v>
      </c>
      <c r="D52" s="21" t="s">
        <v>396</v>
      </c>
      <c r="E52" s="12" t="s">
        <v>22</v>
      </c>
      <c r="F52" s="12">
        <v>1</v>
      </c>
      <c r="G52" s="14" t="s">
        <v>81</v>
      </c>
      <c r="H52" s="15">
        <v>65000</v>
      </c>
      <c r="I52" s="15">
        <f t="shared" ref="I52:I194" si="2">F52*H52</f>
        <v>65000</v>
      </c>
      <c r="J52" s="13" t="s">
        <v>759</v>
      </c>
      <c r="N52" s="7" t="str">
        <f ca="1">IFERROR(__xludf.DUMMYFUNCTION("""COMPUTED_VALUE"""),"63")</f>
        <v>63</v>
      </c>
      <c r="O52" s="7">
        <f ca="1">IFERROR(__xludf.DUMMYFUNCTION("""COMPUTED_VALUE"""),18)</f>
        <v>18</v>
      </c>
      <c r="P52" s="7" t="str">
        <f ca="1">IFERROR(__xludf.DUMMYFUNCTION("""COMPUTED_VALUE"""),"Stock Dagangan")</f>
        <v>Stock Dagangan</v>
      </c>
      <c r="Q52" s="7" t="str">
        <f ca="1">IFERROR(__xludf.DUMMYFUNCTION("""COMPUTED_VALUE"""),"Notebook dll")</f>
        <v>Notebook dll</v>
      </c>
      <c r="R52" s="7" t="str">
        <f ca="1">IFERROR(__xludf.DUMMYFUNCTION("""COMPUTED_VALUE"""),"Reccuring")</f>
        <v>Reccuring</v>
      </c>
      <c r="S52" s="7">
        <f ca="1">IFERROR(__xludf.DUMMYFUNCTION("""COMPUTED_VALUE"""),1)</f>
        <v>1</v>
      </c>
      <c r="T52" s="16" t="str">
        <f ca="1">IFERROR(__xludf.DUMMYFUNCTION("""COMPUTED_VALUE"""),"paket")</f>
        <v>paket</v>
      </c>
      <c r="U52" s="16">
        <f ca="1">IFERROR(__xludf.DUMMYFUNCTION("""COMPUTED_VALUE"""),520000)</f>
        <v>520000</v>
      </c>
      <c r="V52" s="16">
        <f ca="1">IFERROR(__xludf.DUMMYFUNCTION("""COMPUTED_VALUE"""),520000)</f>
        <v>520000</v>
      </c>
      <c r="W52" s="7" t="str">
        <f ca="1">IFERROR(__xludf.DUMMYFUNCTION("""COMPUTED_VALUE"""),"AIMILO")</f>
        <v>AIMILO</v>
      </c>
    </row>
    <row r="53" spans="1:23" ht="12.5" x14ac:dyDescent="0.25">
      <c r="A53" s="12" t="s">
        <v>175</v>
      </c>
      <c r="B53" s="12">
        <v>11</v>
      </c>
      <c r="C53" s="12" t="s">
        <v>51</v>
      </c>
      <c r="D53" s="21" t="s">
        <v>107</v>
      </c>
      <c r="E53" s="12" t="s">
        <v>22</v>
      </c>
      <c r="F53" s="12">
        <v>1</v>
      </c>
      <c r="G53" s="14" t="s">
        <v>81</v>
      </c>
      <c r="H53" s="15">
        <v>185000</v>
      </c>
      <c r="I53" s="15">
        <f t="shared" si="2"/>
        <v>185000</v>
      </c>
      <c r="J53" s="13" t="s">
        <v>760</v>
      </c>
      <c r="N53" s="7" t="str">
        <f ca="1">IFERROR(__xludf.DUMMYFUNCTION("""COMPUTED_VALUE"""),"64")</f>
        <v>64</v>
      </c>
      <c r="O53" s="7">
        <f ca="1">IFERROR(__xludf.DUMMYFUNCTION("""COMPUTED_VALUE"""),18)</f>
        <v>18</v>
      </c>
      <c r="P53" s="7" t="str">
        <f ca="1">IFERROR(__xludf.DUMMYFUNCTION("""COMPUTED_VALUE"""),"Stock Dagangan")</f>
        <v>Stock Dagangan</v>
      </c>
      <c r="Q53" s="7" t="str">
        <f ca="1">IFERROR(__xludf.DUMMYFUNCTION("""COMPUTED_VALUE"""),"Jeday bangkok ")</f>
        <v xml:space="preserve">Jeday bangkok </v>
      </c>
      <c r="R53" s="7" t="str">
        <f ca="1">IFERROR(__xludf.DUMMYFUNCTION("""COMPUTED_VALUE"""),"Reccuring")</f>
        <v>Reccuring</v>
      </c>
      <c r="S53" s="7">
        <f ca="1">IFERROR(__xludf.DUMMYFUNCTION("""COMPUTED_VALUE"""),1)</f>
        <v>1</v>
      </c>
      <c r="T53" s="16" t="str">
        <f ca="1">IFERROR(__xludf.DUMMYFUNCTION("""COMPUTED_VALUE"""),"paket")</f>
        <v>paket</v>
      </c>
      <c r="U53" s="16">
        <f ca="1">IFERROR(__xludf.DUMMYFUNCTION("""COMPUTED_VALUE"""),90000)</f>
        <v>90000</v>
      </c>
      <c r="V53" s="16">
        <f ca="1">IFERROR(__xludf.DUMMYFUNCTION("""COMPUTED_VALUE"""),90000)</f>
        <v>90000</v>
      </c>
      <c r="W53" s="7" t="str">
        <f ca="1">IFERROR(__xludf.DUMMYFUNCTION("""COMPUTED_VALUE"""),"Declip Jeday")</f>
        <v>Declip Jeday</v>
      </c>
    </row>
    <row r="54" spans="1:23" ht="12.5" x14ac:dyDescent="0.25">
      <c r="A54" s="12" t="s">
        <v>178</v>
      </c>
      <c r="B54" s="12">
        <v>11</v>
      </c>
      <c r="C54" s="12" t="s">
        <v>51</v>
      </c>
      <c r="D54" s="21" t="s">
        <v>761</v>
      </c>
      <c r="E54" s="12" t="s">
        <v>22</v>
      </c>
      <c r="F54" s="12">
        <v>1</v>
      </c>
      <c r="G54" s="14" t="s">
        <v>81</v>
      </c>
      <c r="H54" s="15">
        <v>130000</v>
      </c>
      <c r="I54" s="15">
        <f t="shared" si="2"/>
        <v>130000</v>
      </c>
      <c r="J54" s="13" t="s">
        <v>762</v>
      </c>
      <c r="N54" s="7" t="str">
        <f ca="1">IFERROR(__xludf.DUMMYFUNCTION("""COMPUTED_VALUE"""),"65")</f>
        <v>65</v>
      </c>
      <c r="O54" s="7">
        <f ca="1">IFERROR(__xludf.DUMMYFUNCTION("""COMPUTED_VALUE"""),18)</f>
        <v>18</v>
      </c>
      <c r="P54" s="7" t="str">
        <f ca="1">IFERROR(__xludf.DUMMYFUNCTION("""COMPUTED_VALUE"""),"Stock Dagangan")</f>
        <v>Stock Dagangan</v>
      </c>
      <c r="Q54" s="7" t="str">
        <f ca="1">IFERROR(__xludf.DUMMYFUNCTION("""COMPUTED_VALUE"""),"Kertas kado")</f>
        <v>Kertas kado</v>
      </c>
      <c r="R54" s="7" t="str">
        <f ca="1">IFERROR(__xludf.DUMMYFUNCTION("""COMPUTED_VALUE"""),"Reccuring")</f>
        <v>Reccuring</v>
      </c>
      <c r="S54" s="7">
        <f ca="1">IFERROR(__xludf.DUMMYFUNCTION("""COMPUTED_VALUE"""),1)</f>
        <v>1</v>
      </c>
      <c r="T54" s="16" t="str">
        <f ca="1">IFERROR(__xludf.DUMMYFUNCTION("""COMPUTED_VALUE"""),"paket")</f>
        <v>paket</v>
      </c>
      <c r="U54" s="16">
        <f ca="1">IFERROR(__xludf.DUMMYFUNCTION("""COMPUTED_VALUE"""),105000)</f>
        <v>105000</v>
      </c>
      <c r="V54" s="16">
        <f ca="1">IFERROR(__xludf.DUMMYFUNCTION("""COMPUTED_VALUE"""),105000)</f>
        <v>105000</v>
      </c>
      <c r="W54" s="7" t="str">
        <f ca="1">IFERROR(__xludf.DUMMYFUNCTION("""COMPUTED_VALUE"""),"Domikadoku")</f>
        <v>Domikadoku</v>
      </c>
    </row>
    <row r="55" spans="1:23" ht="12.5" x14ac:dyDescent="0.25">
      <c r="A55" s="12" t="s">
        <v>181</v>
      </c>
      <c r="B55" s="12">
        <v>11</v>
      </c>
      <c r="C55" s="12" t="s">
        <v>51</v>
      </c>
      <c r="D55" s="21" t="s">
        <v>461</v>
      </c>
      <c r="E55" s="12" t="s">
        <v>22</v>
      </c>
      <c r="F55" s="12">
        <v>1</v>
      </c>
      <c r="G55" s="14" t="s">
        <v>81</v>
      </c>
      <c r="H55" s="15">
        <v>180000</v>
      </c>
      <c r="I55" s="15">
        <f t="shared" si="2"/>
        <v>180000</v>
      </c>
      <c r="J55" s="13" t="s">
        <v>763</v>
      </c>
      <c r="N55" s="7" t="str">
        <f ca="1">IFERROR(__xludf.DUMMYFUNCTION("""COMPUTED_VALUE"""),"68")</f>
        <v>68</v>
      </c>
      <c r="O55" s="7">
        <f ca="1">IFERROR(__xludf.DUMMYFUNCTION("""COMPUTED_VALUE"""),20)</f>
        <v>20</v>
      </c>
      <c r="P55" s="7" t="str">
        <f ca="1">IFERROR(__xludf.DUMMYFUNCTION("""COMPUTED_VALUE"""),"Stock Dagangan")</f>
        <v>Stock Dagangan</v>
      </c>
      <c r="Q55" s="7" t="str">
        <f ca="1">IFERROR(__xludf.DUMMYFUNCTION("""COMPUTED_VALUE"""),"Ganci Rajut")</f>
        <v>Ganci Rajut</v>
      </c>
      <c r="R55" s="7" t="str">
        <f ca="1">IFERROR(__xludf.DUMMYFUNCTION("""COMPUTED_VALUE"""),"Reccuring")</f>
        <v>Reccuring</v>
      </c>
      <c r="S55" s="7">
        <f ca="1">IFERROR(__xludf.DUMMYFUNCTION("""COMPUTED_VALUE"""),1)</f>
        <v>1</v>
      </c>
      <c r="T55" s="16" t="str">
        <f ca="1">IFERROR(__xludf.DUMMYFUNCTION("""COMPUTED_VALUE"""),"paket")</f>
        <v>paket</v>
      </c>
      <c r="U55" s="16">
        <f ca="1">IFERROR(__xludf.DUMMYFUNCTION("""COMPUTED_VALUE"""),435000)</f>
        <v>435000</v>
      </c>
      <c r="V55" s="16">
        <f ca="1">IFERROR(__xludf.DUMMYFUNCTION("""COMPUTED_VALUE"""),435000)</f>
        <v>435000</v>
      </c>
      <c r="W55" s="7" t="str">
        <f ca="1">IFERROR(__xludf.DUMMYFUNCTION("""COMPUTED_VALUE"""),"Rumah rajut 28")</f>
        <v>Rumah rajut 28</v>
      </c>
    </row>
    <row r="56" spans="1:23" ht="12.5" x14ac:dyDescent="0.25">
      <c r="A56" s="12" t="s">
        <v>183</v>
      </c>
      <c r="B56" s="12">
        <v>11</v>
      </c>
      <c r="C56" s="12" t="s">
        <v>51</v>
      </c>
      <c r="D56" s="21" t="s">
        <v>764</v>
      </c>
      <c r="E56" s="12" t="s">
        <v>22</v>
      </c>
      <c r="F56" s="12">
        <v>1</v>
      </c>
      <c r="G56" s="14" t="s">
        <v>81</v>
      </c>
      <c r="H56" s="15">
        <v>145000</v>
      </c>
      <c r="I56" s="15">
        <f t="shared" si="2"/>
        <v>145000</v>
      </c>
      <c r="J56" s="13" t="s">
        <v>765</v>
      </c>
      <c r="N56" s="7" t="str">
        <f ca="1">IFERROR(__xludf.DUMMYFUNCTION("""COMPUTED_VALUE"""),"69")</f>
        <v>69</v>
      </c>
      <c r="O56" s="7">
        <f ca="1">IFERROR(__xludf.DUMMYFUNCTION("""COMPUTED_VALUE"""),20)</f>
        <v>20</v>
      </c>
      <c r="P56" s="7" t="str">
        <f ca="1">IFERROR(__xludf.DUMMYFUNCTION("""COMPUTED_VALUE"""),"Stock Dagangan")</f>
        <v>Stock Dagangan</v>
      </c>
      <c r="Q56" s="7" t="str">
        <f ca="1">IFERROR(__xludf.DUMMYFUNCTION("""COMPUTED_VALUE"""),"Powerbank")</f>
        <v>Powerbank</v>
      </c>
      <c r="R56" s="7" t="str">
        <f ca="1">IFERROR(__xludf.DUMMYFUNCTION("""COMPUTED_VALUE"""),"Reccuring")</f>
        <v>Reccuring</v>
      </c>
      <c r="S56" s="7">
        <f ca="1">IFERROR(__xludf.DUMMYFUNCTION("""COMPUTED_VALUE"""),1)</f>
        <v>1</v>
      </c>
      <c r="T56" s="16" t="str">
        <f ca="1">IFERROR(__xludf.DUMMYFUNCTION("""COMPUTED_VALUE"""),"paket")</f>
        <v>paket</v>
      </c>
      <c r="U56" s="16">
        <f ca="1">IFERROR(__xludf.DUMMYFUNCTION("""COMPUTED_VALUE"""),215000)</f>
        <v>215000</v>
      </c>
      <c r="V56" s="16">
        <f ca="1">IFERROR(__xludf.DUMMYFUNCTION("""COMPUTED_VALUE"""),215000)</f>
        <v>215000</v>
      </c>
      <c r="W56" s="7" t="str">
        <f ca="1">IFERROR(__xludf.DUMMYFUNCTION("""COMPUTED_VALUE"""),"_zx3t2kidp")</f>
        <v>_zx3t2kidp</v>
      </c>
    </row>
    <row r="57" spans="1:23" ht="12.5" x14ac:dyDescent="0.25">
      <c r="A57" s="12" t="s">
        <v>186</v>
      </c>
      <c r="B57" s="12">
        <v>11</v>
      </c>
      <c r="C57" s="12" t="s">
        <v>51</v>
      </c>
      <c r="D57" s="21" t="s">
        <v>766</v>
      </c>
      <c r="E57" s="12" t="s">
        <v>22</v>
      </c>
      <c r="F57" s="12">
        <v>1</v>
      </c>
      <c r="G57" s="14" t="s">
        <v>81</v>
      </c>
      <c r="H57" s="15">
        <v>180000</v>
      </c>
      <c r="I57" s="15">
        <f t="shared" si="2"/>
        <v>180000</v>
      </c>
      <c r="J57" s="13" t="s">
        <v>767</v>
      </c>
      <c r="N57" s="7" t="str">
        <f ca="1">IFERROR(__xludf.DUMMYFUNCTION("""COMPUTED_VALUE"""),"70")</f>
        <v>70</v>
      </c>
      <c r="O57" s="7">
        <f ca="1">IFERROR(__xludf.DUMMYFUNCTION("""COMPUTED_VALUE"""),21)</f>
        <v>21</v>
      </c>
      <c r="P57" s="7" t="str">
        <f ca="1">IFERROR(__xludf.DUMMYFUNCTION("""COMPUTED_VALUE"""),"Stock Dagangan")</f>
        <v>Stock Dagangan</v>
      </c>
      <c r="Q57" s="7" t="str">
        <f ca="1">IFERROR(__xludf.DUMMYFUNCTION("""COMPUTED_VALUE"""),"gelang kerang manik ")</f>
        <v xml:space="preserve">gelang kerang manik </v>
      </c>
      <c r="R57" s="7" t="str">
        <f ca="1">IFERROR(__xludf.DUMMYFUNCTION("""COMPUTED_VALUE"""),"Reccuring")</f>
        <v>Reccuring</v>
      </c>
      <c r="S57" s="7">
        <f ca="1">IFERROR(__xludf.DUMMYFUNCTION("""COMPUTED_VALUE"""),1)</f>
        <v>1</v>
      </c>
      <c r="T57" s="16" t="str">
        <f ca="1">IFERROR(__xludf.DUMMYFUNCTION("""COMPUTED_VALUE"""),"paket")</f>
        <v>paket</v>
      </c>
      <c r="U57" s="16">
        <f ca="1">IFERROR(__xludf.DUMMYFUNCTION("""COMPUTED_VALUE"""),90000)</f>
        <v>90000</v>
      </c>
      <c r="V57" s="16">
        <f ca="1">IFERROR(__xludf.DUMMYFUNCTION("""COMPUTED_VALUE"""),90000)</f>
        <v>90000</v>
      </c>
      <c r="W57" s="7" t="str">
        <f ca="1">IFERROR(__xludf.DUMMYFUNCTION("""COMPUTED_VALUE"""),"Fairytale Acc")</f>
        <v>Fairytale Acc</v>
      </c>
    </row>
    <row r="58" spans="1:23" ht="12.5" x14ac:dyDescent="0.25">
      <c r="A58" s="12" t="s">
        <v>189</v>
      </c>
      <c r="B58" s="12">
        <v>12</v>
      </c>
      <c r="C58" s="12" t="s">
        <v>51</v>
      </c>
      <c r="D58" s="21" t="s">
        <v>463</v>
      </c>
      <c r="E58" s="12" t="s">
        <v>22</v>
      </c>
      <c r="F58" s="12">
        <v>1</v>
      </c>
      <c r="G58" s="14" t="s">
        <v>81</v>
      </c>
      <c r="H58" s="15">
        <v>135000</v>
      </c>
      <c r="I58" s="15">
        <f t="shared" si="2"/>
        <v>135000</v>
      </c>
      <c r="J58" s="13" t="s">
        <v>768</v>
      </c>
      <c r="N58" s="7" t="str">
        <f ca="1">IFERROR(__xludf.DUMMYFUNCTION("""COMPUTED_VALUE"""),"73")</f>
        <v>73</v>
      </c>
      <c r="O58" s="7">
        <f ca="1">IFERROR(__xludf.DUMMYFUNCTION("""COMPUTED_VALUE"""),22)</f>
        <v>22</v>
      </c>
      <c r="P58" s="7" t="str">
        <f ca="1">IFERROR(__xludf.DUMMYFUNCTION("""COMPUTED_VALUE"""),"Stock Dagangan")</f>
        <v>Stock Dagangan</v>
      </c>
      <c r="Q58" s="7" t="str">
        <f ca="1">IFERROR(__xludf.DUMMYFUNCTION("""COMPUTED_VALUE"""),"Tempat press on nails")</f>
        <v>Tempat press on nails</v>
      </c>
      <c r="R58" s="7" t="str">
        <f ca="1">IFERROR(__xludf.DUMMYFUNCTION("""COMPUTED_VALUE"""),"Reccuring")</f>
        <v>Reccuring</v>
      </c>
      <c r="S58" s="7">
        <f ca="1">IFERROR(__xludf.DUMMYFUNCTION("""COMPUTED_VALUE"""),1)</f>
        <v>1</v>
      </c>
      <c r="T58" s="16" t="str">
        <f ca="1">IFERROR(__xludf.DUMMYFUNCTION("""COMPUTED_VALUE"""),"paket")</f>
        <v>paket</v>
      </c>
      <c r="U58" s="16">
        <f ca="1">IFERROR(__xludf.DUMMYFUNCTION("""COMPUTED_VALUE"""),50000)</f>
        <v>50000</v>
      </c>
      <c r="V58" s="16">
        <f ca="1">IFERROR(__xludf.DUMMYFUNCTION("""COMPUTED_VALUE"""),50000)</f>
        <v>50000</v>
      </c>
      <c r="W58" s="7" t="str">
        <f ca="1">IFERROR(__xludf.DUMMYFUNCTION("""COMPUTED_VALUE"""),"henna instant id")</f>
        <v>henna instant id</v>
      </c>
    </row>
    <row r="59" spans="1:23" ht="12.5" x14ac:dyDescent="0.25">
      <c r="A59" s="12" t="s">
        <v>191</v>
      </c>
      <c r="B59" s="12">
        <v>12</v>
      </c>
      <c r="C59" s="12" t="s">
        <v>51</v>
      </c>
      <c r="D59" s="21" t="s">
        <v>769</v>
      </c>
      <c r="E59" s="12" t="s">
        <v>22</v>
      </c>
      <c r="F59" s="12">
        <v>1</v>
      </c>
      <c r="G59" s="14" t="s">
        <v>81</v>
      </c>
      <c r="H59" s="15">
        <v>560000</v>
      </c>
      <c r="I59" s="15">
        <f t="shared" si="2"/>
        <v>560000</v>
      </c>
      <c r="J59" s="13" t="s">
        <v>705</v>
      </c>
      <c r="N59" s="7" t="str">
        <f ca="1">IFERROR(__xludf.DUMMYFUNCTION("""COMPUTED_VALUE"""),"74")</f>
        <v>74</v>
      </c>
      <c r="O59" s="7">
        <f ca="1">IFERROR(__xludf.DUMMYFUNCTION("""COMPUTED_VALUE"""),22)</f>
        <v>22</v>
      </c>
      <c r="P59" s="7" t="str">
        <f ca="1">IFERROR(__xludf.DUMMYFUNCTION("""COMPUTED_VALUE"""),"Stock Dagangan")</f>
        <v>Stock Dagangan</v>
      </c>
      <c r="Q59" s="7" t="str">
        <f ca="1">IFERROR(__xludf.DUMMYFUNCTION("""COMPUTED_VALUE"""),"Jam Tangan")</f>
        <v>Jam Tangan</v>
      </c>
      <c r="R59" s="7" t="str">
        <f ca="1">IFERROR(__xludf.DUMMYFUNCTION("""COMPUTED_VALUE"""),"Reccuring")</f>
        <v>Reccuring</v>
      </c>
      <c r="S59" s="7">
        <f ca="1">IFERROR(__xludf.DUMMYFUNCTION("""COMPUTED_VALUE"""),1)</f>
        <v>1</v>
      </c>
      <c r="T59" s="16" t="str">
        <f ca="1">IFERROR(__xludf.DUMMYFUNCTION("""COMPUTED_VALUE"""),"paket")</f>
        <v>paket</v>
      </c>
      <c r="U59" s="16">
        <f ca="1">IFERROR(__xludf.DUMMYFUNCTION("""COMPUTED_VALUE"""),105000)</f>
        <v>105000</v>
      </c>
      <c r="V59" s="16">
        <f ca="1">IFERROR(__xludf.DUMMYFUNCTION("""COMPUTED_VALUE"""),105000)</f>
        <v>105000</v>
      </c>
      <c r="W59" s="7" t="str">
        <f ca="1">IFERROR(__xludf.DUMMYFUNCTION("""COMPUTED_VALUE"""),"BKT Wholesale")</f>
        <v>BKT Wholesale</v>
      </c>
    </row>
    <row r="60" spans="1:23" ht="12.5" x14ac:dyDescent="0.25">
      <c r="A60" s="12" t="s">
        <v>194</v>
      </c>
      <c r="B60" s="12">
        <v>12</v>
      </c>
      <c r="C60" s="12" t="s">
        <v>51</v>
      </c>
      <c r="D60" s="21" t="s">
        <v>770</v>
      </c>
      <c r="E60" s="12" t="s">
        <v>22</v>
      </c>
      <c r="F60" s="12">
        <v>1</v>
      </c>
      <c r="G60" s="14" t="s">
        <v>81</v>
      </c>
      <c r="H60" s="15">
        <v>200000</v>
      </c>
      <c r="I60" s="15">
        <f t="shared" si="2"/>
        <v>200000</v>
      </c>
      <c r="J60" s="13" t="s">
        <v>405</v>
      </c>
      <c r="N60" s="7" t="str">
        <f ca="1">IFERROR(__xludf.DUMMYFUNCTION("""COMPUTED_VALUE"""),"76")</f>
        <v>76</v>
      </c>
      <c r="O60" s="7">
        <f ca="1">IFERROR(__xludf.DUMMYFUNCTION("""COMPUTED_VALUE"""),24)</f>
        <v>24</v>
      </c>
      <c r="P60" s="7" t="str">
        <f ca="1">IFERROR(__xludf.DUMMYFUNCTION("""COMPUTED_VALUE"""),"Stock Dagangan")</f>
        <v>Stock Dagangan</v>
      </c>
      <c r="Q60" s="7" t="str">
        <f ca="1">IFERROR(__xludf.DUMMYFUNCTION("""COMPUTED_VALUE"""),"Ganci Huruf")</f>
        <v>Ganci Huruf</v>
      </c>
      <c r="R60" s="7" t="str">
        <f ca="1">IFERROR(__xludf.DUMMYFUNCTION("""COMPUTED_VALUE"""),"Reccuring")</f>
        <v>Reccuring</v>
      </c>
      <c r="S60" s="7">
        <f ca="1">IFERROR(__xludf.DUMMYFUNCTION("""COMPUTED_VALUE"""),1)</f>
        <v>1</v>
      </c>
      <c r="T60" s="16" t="str">
        <f ca="1">IFERROR(__xludf.DUMMYFUNCTION("""COMPUTED_VALUE"""),"paket")</f>
        <v>paket</v>
      </c>
      <c r="U60" s="16">
        <f ca="1">IFERROR(__xludf.DUMMYFUNCTION("""COMPUTED_VALUE"""),315000)</f>
        <v>315000</v>
      </c>
      <c r="V60" s="16">
        <f ca="1">IFERROR(__xludf.DUMMYFUNCTION("""COMPUTED_VALUE"""),315000)</f>
        <v>315000</v>
      </c>
      <c r="W60" s="7" t="str">
        <f ca="1">IFERROR(__xludf.DUMMYFUNCTION("""COMPUTED_VALUE"""),"Nadeldza")</f>
        <v>Nadeldza</v>
      </c>
    </row>
    <row r="61" spans="1:23" ht="12.5" x14ac:dyDescent="0.25">
      <c r="A61" s="12" t="s">
        <v>197</v>
      </c>
      <c r="B61" s="12">
        <v>12</v>
      </c>
      <c r="C61" s="12" t="s">
        <v>51</v>
      </c>
      <c r="D61" s="21" t="s">
        <v>101</v>
      </c>
      <c r="E61" s="12" t="s">
        <v>22</v>
      </c>
      <c r="F61" s="12">
        <v>1</v>
      </c>
      <c r="G61" s="14" t="s">
        <v>81</v>
      </c>
      <c r="H61" s="15">
        <v>215000</v>
      </c>
      <c r="I61" s="15">
        <f t="shared" si="2"/>
        <v>215000</v>
      </c>
      <c r="J61" s="13" t="s">
        <v>771</v>
      </c>
      <c r="N61" s="7" t="str">
        <f ca="1">IFERROR(__xludf.DUMMYFUNCTION("""COMPUTED_VALUE"""),"81")</f>
        <v>81</v>
      </c>
      <c r="O61" s="7">
        <f ca="1">IFERROR(__xludf.DUMMYFUNCTION("""COMPUTED_VALUE"""),29)</f>
        <v>29</v>
      </c>
      <c r="P61" s="7" t="str">
        <f ca="1">IFERROR(__xludf.DUMMYFUNCTION("""COMPUTED_VALUE"""),"Stock Dagangan")</f>
        <v>Stock Dagangan</v>
      </c>
      <c r="Q61" s="7" t="str">
        <f ca="1">IFERROR(__xludf.DUMMYFUNCTION("""COMPUTED_VALUE"""),"Plastik bungkus bunga")</f>
        <v>Plastik bungkus bunga</v>
      </c>
      <c r="R61" s="7" t="str">
        <f ca="1">IFERROR(__xludf.DUMMYFUNCTION("""COMPUTED_VALUE"""),"Reccuring")</f>
        <v>Reccuring</v>
      </c>
      <c r="S61" s="7">
        <f ca="1">IFERROR(__xludf.DUMMYFUNCTION("""COMPUTED_VALUE"""),1)</f>
        <v>1</v>
      </c>
      <c r="T61" s="16" t="str">
        <f ca="1">IFERROR(__xludf.DUMMYFUNCTION("""COMPUTED_VALUE"""),"paket")</f>
        <v>paket</v>
      </c>
      <c r="U61" s="16">
        <f ca="1">IFERROR(__xludf.DUMMYFUNCTION("""COMPUTED_VALUE"""),200000)</f>
        <v>200000</v>
      </c>
      <c r="V61" s="16">
        <f ca="1">IFERROR(__xludf.DUMMYFUNCTION("""COMPUTED_VALUE"""),200000)</f>
        <v>200000</v>
      </c>
      <c r="W61" s="7" t="str">
        <f ca="1">IFERROR(__xludf.DUMMYFUNCTION("""COMPUTED_VALUE"""),"floristroombali")</f>
        <v>floristroombali</v>
      </c>
    </row>
    <row r="62" spans="1:23" ht="12.5" x14ac:dyDescent="0.25">
      <c r="A62" s="12" t="s">
        <v>199</v>
      </c>
      <c r="B62" s="12">
        <v>12</v>
      </c>
      <c r="C62" s="12" t="s">
        <v>83</v>
      </c>
      <c r="D62" s="21" t="s">
        <v>755</v>
      </c>
      <c r="E62" s="12" t="s">
        <v>22</v>
      </c>
      <c r="F62" s="12">
        <v>1</v>
      </c>
      <c r="G62" s="14" t="s">
        <v>81</v>
      </c>
      <c r="H62" s="15">
        <v>250000</v>
      </c>
      <c r="I62" s="15">
        <f t="shared" si="2"/>
        <v>250000</v>
      </c>
      <c r="J62" s="13" t="s">
        <v>430</v>
      </c>
      <c r="N62" s="7" t="str">
        <f ca="1">IFERROR(__xludf.DUMMYFUNCTION("""COMPUTED_VALUE"""),"83")</f>
        <v>83</v>
      </c>
      <c r="O62" s="7">
        <f ca="1">IFERROR(__xludf.DUMMYFUNCTION("""COMPUTED_VALUE"""),30)</f>
        <v>30</v>
      </c>
      <c r="P62" s="7" t="str">
        <f ca="1">IFERROR(__xludf.DUMMYFUNCTION("""COMPUTED_VALUE"""),"Stock Dagangan")</f>
        <v>Stock Dagangan</v>
      </c>
      <c r="Q62" s="7" t="str">
        <f ca="1">IFERROR(__xludf.DUMMYFUNCTION("""COMPUTED_VALUE"""),"alat tulis")</f>
        <v>alat tulis</v>
      </c>
      <c r="R62" s="7" t="str">
        <f ca="1">IFERROR(__xludf.DUMMYFUNCTION("""COMPUTED_VALUE"""),"Reccuring")</f>
        <v>Reccuring</v>
      </c>
      <c r="S62" s="7">
        <f ca="1">IFERROR(__xludf.DUMMYFUNCTION("""COMPUTED_VALUE"""),1)</f>
        <v>1</v>
      </c>
      <c r="T62" s="16" t="str">
        <f ca="1">IFERROR(__xludf.DUMMYFUNCTION("""COMPUTED_VALUE"""),"paket")</f>
        <v>paket</v>
      </c>
      <c r="U62" s="16">
        <f ca="1">IFERROR(__xludf.DUMMYFUNCTION("""COMPUTED_VALUE"""),350000)</f>
        <v>350000</v>
      </c>
      <c r="V62" s="16">
        <f ca="1">IFERROR(__xludf.DUMMYFUNCTION("""COMPUTED_VALUE"""),350000)</f>
        <v>350000</v>
      </c>
      <c r="W62" s="7" t="str">
        <f ca="1">IFERROR(__xludf.DUMMYFUNCTION("""COMPUTED_VALUE"""),"Seller Termurah Terpercaya")</f>
        <v>Seller Termurah Terpercaya</v>
      </c>
    </row>
    <row r="63" spans="1:23" ht="12.5" x14ac:dyDescent="0.25">
      <c r="A63" s="12" t="s">
        <v>202</v>
      </c>
      <c r="B63" s="12">
        <v>12</v>
      </c>
      <c r="C63" s="12" t="s">
        <v>51</v>
      </c>
      <c r="D63" s="21" t="s">
        <v>772</v>
      </c>
      <c r="E63" s="12" t="s">
        <v>22</v>
      </c>
      <c r="F63" s="12">
        <v>1</v>
      </c>
      <c r="G63" s="14" t="s">
        <v>81</v>
      </c>
      <c r="H63" s="15">
        <v>90000</v>
      </c>
      <c r="I63" s="15">
        <f t="shared" si="2"/>
        <v>90000</v>
      </c>
      <c r="J63" s="13" t="s">
        <v>773</v>
      </c>
      <c r="N63" s="7">
        <f ca="1">IFERROR(__xludf.DUMMYFUNCTION("""COMPUTED_VALUE"""),84)</f>
        <v>84</v>
      </c>
      <c r="O63" s="7">
        <f ca="1">IFERROR(__xludf.DUMMYFUNCTION("""COMPUTED_VALUE"""),31)</f>
        <v>31</v>
      </c>
      <c r="P63" s="7" t="str">
        <f ca="1">IFERROR(__xludf.DUMMYFUNCTION("""COMPUTED_VALUE"""),"Stock Dagangan")</f>
        <v>Stock Dagangan</v>
      </c>
      <c r="Q63" s="7" t="str">
        <f ca="1">IFERROR(__xludf.DUMMYFUNCTION("""COMPUTED_VALUE"""),"jepit bebek capybara")</f>
        <v>jepit bebek capybara</v>
      </c>
      <c r="R63" s="7" t="str">
        <f ca="1">IFERROR(__xludf.DUMMYFUNCTION("""COMPUTED_VALUE"""),"Reccuring")</f>
        <v>Reccuring</v>
      </c>
      <c r="S63" s="7">
        <f ca="1">IFERROR(__xludf.DUMMYFUNCTION("""COMPUTED_VALUE"""),1)</f>
        <v>1</v>
      </c>
      <c r="T63" s="16" t="str">
        <f ca="1">IFERROR(__xludf.DUMMYFUNCTION("""COMPUTED_VALUE"""),"paket")</f>
        <v>paket</v>
      </c>
      <c r="U63" s="16">
        <f ca="1">IFERROR(__xludf.DUMMYFUNCTION("""COMPUTED_VALUE"""),1015000)</f>
        <v>1015000</v>
      </c>
      <c r="V63" s="16">
        <f ca="1">IFERROR(__xludf.DUMMYFUNCTION("""COMPUTED_VALUE"""),1015000)</f>
        <v>1015000</v>
      </c>
      <c r="W63" s="7" t="str">
        <f ca="1">IFERROR(__xludf.DUMMYFUNCTION("""COMPUTED_VALUE"""),"Oura Accesories")</f>
        <v>Oura Accesories</v>
      </c>
    </row>
    <row r="64" spans="1:23" ht="12.5" x14ac:dyDescent="0.25">
      <c r="A64" s="12" t="s">
        <v>205</v>
      </c>
      <c r="B64" s="12">
        <v>12</v>
      </c>
      <c r="C64" s="12" t="s">
        <v>51</v>
      </c>
      <c r="D64" s="21" t="s">
        <v>90</v>
      </c>
      <c r="E64" s="12" t="s">
        <v>22</v>
      </c>
      <c r="F64" s="12">
        <v>1</v>
      </c>
      <c r="G64" s="14" t="s">
        <v>81</v>
      </c>
      <c r="H64" s="15">
        <v>90000</v>
      </c>
      <c r="I64" s="15">
        <f t="shared" si="2"/>
        <v>90000</v>
      </c>
      <c r="J64" s="13" t="s">
        <v>774</v>
      </c>
    </row>
    <row r="65" spans="1:10" ht="12.5" x14ac:dyDescent="0.25">
      <c r="A65" s="12" t="s">
        <v>207</v>
      </c>
      <c r="B65" s="12">
        <v>12</v>
      </c>
      <c r="C65" s="12" t="s">
        <v>51</v>
      </c>
      <c r="D65" s="21" t="s">
        <v>775</v>
      </c>
      <c r="E65" s="12" t="s">
        <v>22</v>
      </c>
      <c r="F65" s="12">
        <v>1</v>
      </c>
      <c r="G65" s="14" t="s">
        <v>81</v>
      </c>
      <c r="H65" s="15">
        <v>200000</v>
      </c>
      <c r="I65" s="15">
        <f t="shared" si="2"/>
        <v>200000</v>
      </c>
      <c r="J65" s="13" t="s">
        <v>776</v>
      </c>
    </row>
    <row r="66" spans="1:10" ht="12.5" x14ac:dyDescent="0.25">
      <c r="A66" s="12" t="s">
        <v>210</v>
      </c>
      <c r="B66" s="12">
        <v>12</v>
      </c>
      <c r="C66" s="12" t="s">
        <v>51</v>
      </c>
      <c r="D66" s="21" t="s">
        <v>777</v>
      </c>
      <c r="E66" s="12" t="s">
        <v>22</v>
      </c>
      <c r="F66" s="12">
        <v>1</v>
      </c>
      <c r="G66" s="14" t="s">
        <v>81</v>
      </c>
      <c r="H66" s="15">
        <v>200000</v>
      </c>
      <c r="I66" s="15">
        <f t="shared" si="2"/>
        <v>200000</v>
      </c>
      <c r="J66" s="13" t="s">
        <v>778</v>
      </c>
    </row>
    <row r="67" spans="1:10" ht="12.5" x14ac:dyDescent="0.25">
      <c r="A67" s="12" t="s">
        <v>213</v>
      </c>
      <c r="B67" s="12">
        <v>12</v>
      </c>
      <c r="C67" s="12" t="s">
        <v>262</v>
      </c>
      <c r="D67" s="21" t="s">
        <v>779</v>
      </c>
      <c r="E67" s="12" t="s">
        <v>22</v>
      </c>
      <c r="F67" s="12">
        <v>1</v>
      </c>
      <c r="G67" s="14" t="s">
        <v>81</v>
      </c>
      <c r="H67" s="15">
        <v>230000</v>
      </c>
      <c r="I67" s="15">
        <f t="shared" si="2"/>
        <v>230000</v>
      </c>
      <c r="J67" s="13" t="s">
        <v>780</v>
      </c>
    </row>
    <row r="68" spans="1:10" ht="12.5" x14ac:dyDescent="0.25">
      <c r="A68" s="12" t="s">
        <v>216</v>
      </c>
      <c r="B68" s="12">
        <v>13</v>
      </c>
      <c r="C68" s="12" t="s">
        <v>51</v>
      </c>
      <c r="D68" s="21" t="s">
        <v>781</v>
      </c>
      <c r="E68" s="12" t="s">
        <v>22</v>
      </c>
      <c r="F68" s="12">
        <v>1</v>
      </c>
      <c r="G68" s="14" t="s">
        <v>81</v>
      </c>
      <c r="H68" s="15">
        <v>50000</v>
      </c>
      <c r="I68" s="15">
        <f t="shared" si="2"/>
        <v>50000</v>
      </c>
      <c r="J68" s="13" t="s">
        <v>782</v>
      </c>
    </row>
    <row r="69" spans="1:10" ht="12.5" x14ac:dyDescent="0.25">
      <c r="A69" s="12" t="s">
        <v>218</v>
      </c>
      <c r="B69" s="12">
        <v>13</v>
      </c>
      <c r="C69" s="12" t="s">
        <v>83</v>
      </c>
      <c r="D69" s="21" t="s">
        <v>724</v>
      </c>
      <c r="E69" s="12" t="s">
        <v>22</v>
      </c>
      <c r="F69" s="12">
        <v>1</v>
      </c>
      <c r="G69" s="14" t="s">
        <v>81</v>
      </c>
      <c r="H69" s="15">
        <v>185000</v>
      </c>
      <c r="I69" s="15">
        <f t="shared" si="2"/>
        <v>185000</v>
      </c>
      <c r="J69" s="13" t="s">
        <v>725</v>
      </c>
    </row>
    <row r="70" spans="1:10" ht="12.5" x14ac:dyDescent="0.25">
      <c r="A70" s="12" t="s">
        <v>221</v>
      </c>
      <c r="B70" s="12">
        <v>13</v>
      </c>
      <c r="C70" s="12" t="s">
        <v>51</v>
      </c>
      <c r="D70" s="21" t="s">
        <v>783</v>
      </c>
      <c r="E70" s="12" t="s">
        <v>22</v>
      </c>
      <c r="F70" s="12">
        <v>1</v>
      </c>
      <c r="G70" s="14" t="s">
        <v>81</v>
      </c>
      <c r="H70" s="15">
        <v>170000</v>
      </c>
      <c r="I70" s="15">
        <f t="shared" si="2"/>
        <v>170000</v>
      </c>
      <c r="J70" s="13" t="s">
        <v>784</v>
      </c>
    </row>
    <row r="71" spans="1:10" ht="12.5" x14ac:dyDescent="0.25">
      <c r="A71" s="12" t="s">
        <v>224</v>
      </c>
      <c r="B71" s="12">
        <v>13</v>
      </c>
      <c r="C71" s="12" t="s">
        <v>73</v>
      </c>
      <c r="D71" s="21" t="s">
        <v>785</v>
      </c>
      <c r="E71" s="12" t="s">
        <v>22</v>
      </c>
      <c r="F71" s="12">
        <v>1</v>
      </c>
      <c r="G71" s="14" t="s">
        <v>81</v>
      </c>
      <c r="H71" s="15">
        <v>50000</v>
      </c>
      <c r="I71" s="15">
        <f t="shared" si="2"/>
        <v>50000</v>
      </c>
      <c r="J71" s="13" t="s">
        <v>786</v>
      </c>
    </row>
    <row r="72" spans="1:10" ht="12.5" x14ac:dyDescent="0.25">
      <c r="A72" s="12" t="s">
        <v>226</v>
      </c>
      <c r="B72" s="12">
        <v>14</v>
      </c>
      <c r="C72" s="12" t="s">
        <v>51</v>
      </c>
      <c r="D72" s="21" t="s">
        <v>787</v>
      </c>
      <c r="E72" s="12" t="s">
        <v>22</v>
      </c>
      <c r="F72" s="12">
        <v>1</v>
      </c>
      <c r="G72" s="14" t="s">
        <v>81</v>
      </c>
      <c r="H72" s="15">
        <v>90000</v>
      </c>
      <c r="I72" s="15">
        <f t="shared" si="2"/>
        <v>90000</v>
      </c>
      <c r="J72" s="13" t="s">
        <v>788</v>
      </c>
    </row>
    <row r="73" spans="1:10" ht="12.5" x14ac:dyDescent="0.25">
      <c r="A73" s="12" t="s">
        <v>229</v>
      </c>
      <c r="B73" s="12">
        <v>14</v>
      </c>
      <c r="C73" s="12" t="s">
        <v>789</v>
      </c>
      <c r="D73" s="21" t="s">
        <v>790</v>
      </c>
      <c r="E73" s="12" t="s">
        <v>68</v>
      </c>
      <c r="F73" s="12">
        <v>1</v>
      </c>
      <c r="G73" s="14" t="s">
        <v>81</v>
      </c>
      <c r="H73" s="15">
        <v>65000</v>
      </c>
      <c r="I73" s="15">
        <f t="shared" si="2"/>
        <v>65000</v>
      </c>
      <c r="J73" s="13" t="s">
        <v>791</v>
      </c>
    </row>
    <row r="74" spans="1:10" ht="12.5" x14ac:dyDescent="0.25">
      <c r="A74" s="12" t="s">
        <v>232</v>
      </c>
      <c r="B74" s="12">
        <v>15</v>
      </c>
      <c r="C74" s="12" t="s">
        <v>51</v>
      </c>
      <c r="D74" s="21" t="s">
        <v>792</v>
      </c>
      <c r="E74" s="12" t="s">
        <v>22</v>
      </c>
      <c r="F74" s="12">
        <v>1</v>
      </c>
      <c r="G74" s="14" t="s">
        <v>81</v>
      </c>
      <c r="H74" s="15">
        <v>285000</v>
      </c>
      <c r="I74" s="15">
        <f t="shared" si="2"/>
        <v>285000</v>
      </c>
      <c r="J74" s="13" t="s">
        <v>793</v>
      </c>
    </row>
    <row r="75" spans="1:10" ht="12.5" x14ac:dyDescent="0.25">
      <c r="A75" s="12" t="s">
        <v>235</v>
      </c>
      <c r="B75" s="12">
        <v>15</v>
      </c>
      <c r="C75" s="12" t="s">
        <v>51</v>
      </c>
      <c r="D75" s="21" t="s">
        <v>471</v>
      </c>
      <c r="E75" s="12" t="s">
        <v>22</v>
      </c>
      <c r="F75" s="12">
        <v>1</v>
      </c>
      <c r="G75" s="14" t="s">
        <v>81</v>
      </c>
      <c r="H75" s="15">
        <v>160000</v>
      </c>
      <c r="I75" s="15">
        <f t="shared" si="2"/>
        <v>160000</v>
      </c>
      <c r="J75" s="13" t="s">
        <v>794</v>
      </c>
    </row>
    <row r="76" spans="1:10" ht="12.5" x14ac:dyDescent="0.25">
      <c r="A76" s="12" t="s">
        <v>238</v>
      </c>
      <c r="B76" s="12">
        <v>15</v>
      </c>
      <c r="C76" s="12" t="s">
        <v>51</v>
      </c>
      <c r="D76" s="21" t="s">
        <v>795</v>
      </c>
      <c r="E76" s="12" t="s">
        <v>22</v>
      </c>
      <c r="F76" s="12">
        <v>1</v>
      </c>
      <c r="G76" s="14" t="s">
        <v>81</v>
      </c>
      <c r="H76" s="15">
        <v>155000</v>
      </c>
      <c r="I76" s="15">
        <f t="shared" si="2"/>
        <v>155000</v>
      </c>
      <c r="J76" s="13" t="s">
        <v>796</v>
      </c>
    </row>
    <row r="77" spans="1:10" ht="12.5" x14ac:dyDescent="0.25">
      <c r="A77" s="12" t="s">
        <v>241</v>
      </c>
      <c r="B77" s="12">
        <v>16</v>
      </c>
      <c r="C77" s="12" t="s">
        <v>51</v>
      </c>
      <c r="D77" s="21" t="s">
        <v>797</v>
      </c>
      <c r="E77" s="12" t="s">
        <v>22</v>
      </c>
      <c r="F77" s="12">
        <v>1</v>
      </c>
      <c r="G77" s="14" t="s">
        <v>81</v>
      </c>
      <c r="H77" s="15">
        <v>370000</v>
      </c>
      <c r="I77" s="15">
        <f t="shared" si="2"/>
        <v>370000</v>
      </c>
      <c r="J77" s="13" t="s">
        <v>425</v>
      </c>
    </row>
    <row r="78" spans="1:10" ht="12.5" x14ac:dyDescent="0.25">
      <c r="A78" s="12" t="s">
        <v>244</v>
      </c>
      <c r="B78" s="12">
        <v>16</v>
      </c>
      <c r="C78" s="12" t="s">
        <v>51</v>
      </c>
      <c r="D78" s="21" t="s">
        <v>757</v>
      </c>
      <c r="E78" s="12" t="s">
        <v>22</v>
      </c>
      <c r="F78" s="12">
        <v>1</v>
      </c>
      <c r="G78" s="14" t="s">
        <v>81</v>
      </c>
      <c r="H78" s="15">
        <v>365000</v>
      </c>
      <c r="I78" s="15">
        <f t="shared" si="2"/>
        <v>365000</v>
      </c>
      <c r="J78" s="13" t="s">
        <v>580</v>
      </c>
    </row>
    <row r="79" spans="1:10" ht="12.5" x14ac:dyDescent="0.25">
      <c r="A79" s="12" t="s">
        <v>247</v>
      </c>
      <c r="B79" s="12">
        <v>17</v>
      </c>
      <c r="C79" s="12" t="s">
        <v>83</v>
      </c>
      <c r="D79" s="21" t="s">
        <v>798</v>
      </c>
      <c r="E79" s="12" t="s">
        <v>22</v>
      </c>
      <c r="F79" s="12">
        <v>1</v>
      </c>
      <c r="G79" s="14" t="s">
        <v>81</v>
      </c>
      <c r="H79" s="15">
        <v>140000</v>
      </c>
      <c r="I79" s="15">
        <f t="shared" si="2"/>
        <v>140000</v>
      </c>
      <c r="J79" s="13" t="s">
        <v>386</v>
      </c>
    </row>
    <row r="80" spans="1:10" ht="12.5" x14ac:dyDescent="0.25">
      <c r="A80" s="12" t="s">
        <v>250</v>
      </c>
      <c r="B80" s="12">
        <v>17</v>
      </c>
      <c r="C80" s="12" t="s">
        <v>51</v>
      </c>
      <c r="D80" s="21" t="s">
        <v>799</v>
      </c>
      <c r="E80" s="12" t="s">
        <v>22</v>
      </c>
      <c r="F80" s="12">
        <v>1</v>
      </c>
      <c r="G80" s="14" t="s">
        <v>81</v>
      </c>
      <c r="H80" s="15">
        <v>400000</v>
      </c>
      <c r="I80" s="15">
        <f t="shared" si="2"/>
        <v>400000</v>
      </c>
      <c r="J80" s="13" t="s">
        <v>459</v>
      </c>
    </row>
    <row r="81" spans="1:10" ht="12.5" x14ac:dyDescent="0.25">
      <c r="A81" s="12" t="s">
        <v>253</v>
      </c>
      <c r="B81" s="12">
        <v>18</v>
      </c>
      <c r="C81" s="12" t="s">
        <v>51</v>
      </c>
      <c r="D81" s="21" t="s">
        <v>800</v>
      </c>
      <c r="E81" s="12" t="s">
        <v>22</v>
      </c>
      <c r="F81" s="12">
        <v>1</v>
      </c>
      <c r="G81" s="14" t="s">
        <v>81</v>
      </c>
      <c r="H81" s="15">
        <v>600000</v>
      </c>
      <c r="I81" s="15">
        <f t="shared" si="2"/>
        <v>600000</v>
      </c>
      <c r="J81" s="13" t="s">
        <v>801</v>
      </c>
    </row>
    <row r="82" spans="1:10" ht="12.5" x14ac:dyDescent="0.25">
      <c r="A82" s="12" t="s">
        <v>256</v>
      </c>
      <c r="B82" s="12">
        <v>18</v>
      </c>
      <c r="C82" s="12" t="s">
        <v>51</v>
      </c>
      <c r="D82" s="21" t="s">
        <v>802</v>
      </c>
      <c r="E82" s="12" t="s">
        <v>22</v>
      </c>
      <c r="F82" s="12">
        <v>1</v>
      </c>
      <c r="G82" s="14" t="s">
        <v>81</v>
      </c>
      <c r="H82" s="15">
        <v>520000</v>
      </c>
      <c r="I82" s="15">
        <f t="shared" si="2"/>
        <v>520000</v>
      </c>
      <c r="J82" s="13" t="s">
        <v>803</v>
      </c>
    </row>
    <row r="83" spans="1:10" ht="12.5" x14ac:dyDescent="0.25">
      <c r="A83" s="12" t="s">
        <v>258</v>
      </c>
      <c r="B83" s="12">
        <v>18</v>
      </c>
      <c r="C83" s="12" t="s">
        <v>51</v>
      </c>
      <c r="D83" s="21" t="s">
        <v>804</v>
      </c>
      <c r="E83" s="12" t="s">
        <v>22</v>
      </c>
      <c r="F83" s="12">
        <v>1</v>
      </c>
      <c r="G83" s="14" t="s">
        <v>81</v>
      </c>
      <c r="H83" s="15">
        <v>90000</v>
      </c>
      <c r="I83" s="15">
        <f t="shared" si="2"/>
        <v>90000</v>
      </c>
      <c r="J83" s="13" t="s">
        <v>805</v>
      </c>
    </row>
    <row r="84" spans="1:10" ht="12.5" x14ac:dyDescent="0.25">
      <c r="A84" s="12" t="s">
        <v>261</v>
      </c>
      <c r="B84" s="12">
        <v>18</v>
      </c>
      <c r="C84" s="12" t="s">
        <v>51</v>
      </c>
      <c r="D84" s="21" t="s">
        <v>192</v>
      </c>
      <c r="E84" s="12" t="s">
        <v>22</v>
      </c>
      <c r="F84" s="12">
        <v>1</v>
      </c>
      <c r="G84" s="14" t="s">
        <v>81</v>
      </c>
      <c r="H84" s="15">
        <v>105000</v>
      </c>
      <c r="I84" s="15">
        <f t="shared" si="2"/>
        <v>105000</v>
      </c>
      <c r="J84" s="13" t="s">
        <v>193</v>
      </c>
    </row>
    <row r="85" spans="1:10" ht="12.5" x14ac:dyDescent="0.25">
      <c r="A85" s="12" t="s">
        <v>265</v>
      </c>
      <c r="B85" s="12">
        <v>18</v>
      </c>
      <c r="C85" s="12" t="s">
        <v>83</v>
      </c>
      <c r="D85" s="21" t="s">
        <v>755</v>
      </c>
      <c r="E85" s="12" t="s">
        <v>22</v>
      </c>
      <c r="F85" s="12">
        <v>1</v>
      </c>
      <c r="G85" s="14" t="s">
        <v>81</v>
      </c>
      <c r="H85" s="15">
        <v>205000</v>
      </c>
      <c r="I85" s="15">
        <f t="shared" si="2"/>
        <v>205000</v>
      </c>
      <c r="J85" s="13" t="s">
        <v>806</v>
      </c>
    </row>
    <row r="86" spans="1:10" ht="12.5" x14ac:dyDescent="0.25">
      <c r="A86" s="12" t="s">
        <v>266</v>
      </c>
      <c r="B86" s="12">
        <v>18</v>
      </c>
      <c r="C86" s="12" t="s">
        <v>789</v>
      </c>
      <c r="D86" s="21" t="s">
        <v>807</v>
      </c>
      <c r="E86" s="12" t="s">
        <v>68</v>
      </c>
      <c r="F86" s="12">
        <v>1</v>
      </c>
      <c r="G86" s="14" t="s">
        <v>81</v>
      </c>
      <c r="H86" s="15">
        <v>50000</v>
      </c>
      <c r="I86" s="15">
        <f t="shared" si="2"/>
        <v>50000</v>
      </c>
      <c r="J86" s="13" t="s">
        <v>791</v>
      </c>
    </row>
    <row r="87" spans="1:10" ht="12.5" x14ac:dyDescent="0.25">
      <c r="A87" s="12" t="s">
        <v>267</v>
      </c>
      <c r="B87" s="12">
        <v>20</v>
      </c>
      <c r="C87" s="12" t="s">
        <v>51</v>
      </c>
      <c r="D87" s="21" t="s">
        <v>808</v>
      </c>
      <c r="E87" s="12" t="s">
        <v>22</v>
      </c>
      <c r="F87" s="12">
        <v>1</v>
      </c>
      <c r="G87" s="14" t="s">
        <v>81</v>
      </c>
      <c r="H87" s="15">
        <v>435000</v>
      </c>
      <c r="I87" s="15">
        <f t="shared" si="2"/>
        <v>435000</v>
      </c>
      <c r="J87" s="13" t="s">
        <v>87</v>
      </c>
    </row>
    <row r="88" spans="1:10" ht="12.5" x14ac:dyDescent="0.25">
      <c r="A88" s="12" t="s">
        <v>268</v>
      </c>
      <c r="B88" s="12">
        <v>20</v>
      </c>
      <c r="C88" s="12" t="s">
        <v>51</v>
      </c>
      <c r="D88" s="21" t="s">
        <v>809</v>
      </c>
      <c r="E88" s="12" t="s">
        <v>22</v>
      </c>
      <c r="F88" s="12">
        <v>1</v>
      </c>
      <c r="G88" s="14" t="s">
        <v>81</v>
      </c>
      <c r="H88" s="15">
        <v>215000</v>
      </c>
      <c r="I88" s="15">
        <f t="shared" si="2"/>
        <v>215000</v>
      </c>
      <c r="J88" s="13" t="s">
        <v>810</v>
      </c>
    </row>
    <row r="89" spans="1:10" ht="12.5" x14ac:dyDescent="0.25">
      <c r="A89" s="12" t="s">
        <v>270</v>
      </c>
      <c r="B89" s="12">
        <v>21</v>
      </c>
      <c r="C89" s="12" t="s">
        <v>51</v>
      </c>
      <c r="D89" s="21" t="s">
        <v>811</v>
      </c>
      <c r="E89" s="12" t="s">
        <v>22</v>
      </c>
      <c r="F89" s="12">
        <v>1</v>
      </c>
      <c r="G89" s="14" t="s">
        <v>81</v>
      </c>
      <c r="H89" s="15">
        <v>90000</v>
      </c>
      <c r="I89" s="15">
        <f t="shared" si="2"/>
        <v>90000</v>
      </c>
      <c r="J89" s="13" t="s">
        <v>782</v>
      </c>
    </row>
    <row r="90" spans="1:10" ht="12.5" x14ac:dyDescent="0.25">
      <c r="A90" s="12" t="s">
        <v>271</v>
      </c>
      <c r="B90" s="12">
        <v>21</v>
      </c>
      <c r="C90" s="12" t="s">
        <v>789</v>
      </c>
      <c r="D90" s="21" t="s">
        <v>812</v>
      </c>
      <c r="E90" s="12" t="s">
        <v>68</v>
      </c>
      <c r="F90" s="12">
        <v>1</v>
      </c>
      <c r="G90" s="14" t="s">
        <v>81</v>
      </c>
      <c r="H90" s="15">
        <v>690000</v>
      </c>
      <c r="I90" s="15">
        <f t="shared" si="2"/>
        <v>690000</v>
      </c>
      <c r="J90" s="13" t="s">
        <v>813</v>
      </c>
    </row>
    <row r="91" spans="1:10" ht="12.5" x14ac:dyDescent="0.25">
      <c r="A91" s="12" t="s">
        <v>272</v>
      </c>
      <c r="B91" s="12">
        <v>21</v>
      </c>
      <c r="C91" s="12" t="s">
        <v>789</v>
      </c>
      <c r="D91" s="21" t="s">
        <v>812</v>
      </c>
      <c r="E91" s="12" t="s">
        <v>68</v>
      </c>
      <c r="F91" s="12">
        <v>1</v>
      </c>
      <c r="G91" s="14" t="s">
        <v>81</v>
      </c>
      <c r="H91" s="15">
        <v>560000</v>
      </c>
      <c r="I91" s="15">
        <f t="shared" si="2"/>
        <v>560000</v>
      </c>
      <c r="J91" s="13" t="s">
        <v>813</v>
      </c>
    </row>
    <row r="92" spans="1:10" ht="12.5" x14ac:dyDescent="0.25">
      <c r="A92" s="12" t="s">
        <v>273</v>
      </c>
      <c r="B92" s="12">
        <v>22</v>
      </c>
      <c r="C92" s="12" t="s">
        <v>51</v>
      </c>
      <c r="D92" s="13" t="s">
        <v>814</v>
      </c>
      <c r="E92" s="12" t="s">
        <v>22</v>
      </c>
      <c r="F92" s="12">
        <v>1</v>
      </c>
      <c r="G92" s="14" t="s">
        <v>81</v>
      </c>
      <c r="H92" s="15">
        <v>50000</v>
      </c>
      <c r="I92" s="15">
        <f t="shared" si="2"/>
        <v>50000</v>
      </c>
      <c r="J92" s="13" t="s">
        <v>815</v>
      </c>
    </row>
    <row r="93" spans="1:10" ht="12.5" x14ac:dyDescent="0.25">
      <c r="A93" s="12" t="s">
        <v>274</v>
      </c>
      <c r="B93" s="12">
        <v>22</v>
      </c>
      <c r="C93" s="12" t="s">
        <v>51</v>
      </c>
      <c r="D93" s="13" t="s">
        <v>777</v>
      </c>
      <c r="E93" s="12" t="s">
        <v>22</v>
      </c>
      <c r="F93" s="12">
        <v>1</v>
      </c>
      <c r="G93" s="14" t="s">
        <v>81</v>
      </c>
      <c r="H93" s="15">
        <v>105000</v>
      </c>
      <c r="I93" s="15">
        <f t="shared" si="2"/>
        <v>105000</v>
      </c>
      <c r="J93" s="13" t="s">
        <v>816</v>
      </c>
    </row>
    <row r="94" spans="1:10" ht="12.5" x14ac:dyDescent="0.25">
      <c r="A94" s="12" t="s">
        <v>275</v>
      </c>
      <c r="B94" s="12">
        <v>22</v>
      </c>
      <c r="C94" s="12" t="s">
        <v>789</v>
      </c>
      <c r="D94" s="13" t="s">
        <v>817</v>
      </c>
      <c r="E94" s="12" t="s">
        <v>22</v>
      </c>
      <c r="F94" s="12">
        <v>1</v>
      </c>
      <c r="G94" s="14" t="s">
        <v>81</v>
      </c>
      <c r="H94" s="15">
        <v>980000</v>
      </c>
      <c r="I94" s="15">
        <f t="shared" si="2"/>
        <v>980000</v>
      </c>
      <c r="J94" s="13" t="s">
        <v>818</v>
      </c>
    </row>
    <row r="95" spans="1:10" ht="12.5" x14ac:dyDescent="0.25">
      <c r="A95" s="12" t="s">
        <v>276</v>
      </c>
      <c r="B95" s="12">
        <v>24</v>
      </c>
      <c r="C95" s="12" t="s">
        <v>51</v>
      </c>
      <c r="D95" s="13" t="s">
        <v>528</v>
      </c>
      <c r="E95" s="12" t="s">
        <v>22</v>
      </c>
      <c r="F95" s="12">
        <v>1</v>
      </c>
      <c r="G95" s="14" t="s">
        <v>81</v>
      </c>
      <c r="H95" s="15">
        <v>315000</v>
      </c>
      <c r="I95" s="15">
        <f t="shared" si="2"/>
        <v>315000</v>
      </c>
      <c r="J95" s="13" t="s">
        <v>433</v>
      </c>
    </row>
    <row r="96" spans="1:10" ht="12.5" x14ac:dyDescent="0.25">
      <c r="A96" s="12" t="s">
        <v>277</v>
      </c>
      <c r="B96" s="12">
        <v>24</v>
      </c>
      <c r="C96" s="12" t="s">
        <v>789</v>
      </c>
      <c r="D96" s="13" t="s">
        <v>819</v>
      </c>
      <c r="E96" s="12" t="s">
        <v>22</v>
      </c>
      <c r="F96" s="12">
        <v>1</v>
      </c>
      <c r="G96" s="14" t="s">
        <v>81</v>
      </c>
      <c r="H96" s="15">
        <v>50000</v>
      </c>
      <c r="I96" s="15">
        <f t="shared" si="2"/>
        <v>50000</v>
      </c>
      <c r="J96" s="13" t="s">
        <v>820</v>
      </c>
    </row>
    <row r="97" spans="1:10" ht="12.5" x14ac:dyDescent="0.25">
      <c r="A97" s="12" t="s">
        <v>278</v>
      </c>
      <c r="B97" s="12">
        <v>24</v>
      </c>
      <c r="C97" s="12" t="s">
        <v>789</v>
      </c>
      <c r="D97" s="13" t="s">
        <v>821</v>
      </c>
      <c r="E97" s="12" t="s">
        <v>22</v>
      </c>
      <c r="F97" s="12">
        <v>1</v>
      </c>
      <c r="G97" s="14" t="s">
        <v>81</v>
      </c>
      <c r="H97" s="15">
        <v>55000</v>
      </c>
      <c r="I97" s="15">
        <f t="shared" si="2"/>
        <v>55000</v>
      </c>
      <c r="J97" s="13" t="s">
        <v>822</v>
      </c>
    </row>
    <row r="98" spans="1:10" ht="12.5" x14ac:dyDescent="0.25">
      <c r="A98" s="12" t="s">
        <v>279</v>
      </c>
      <c r="B98" s="12">
        <v>26</v>
      </c>
      <c r="C98" s="12" t="s">
        <v>73</v>
      </c>
      <c r="D98" s="13" t="s">
        <v>236</v>
      </c>
      <c r="E98" s="12" t="s">
        <v>22</v>
      </c>
      <c r="F98" s="12">
        <v>1</v>
      </c>
      <c r="G98" s="14" t="s">
        <v>81</v>
      </c>
      <c r="H98" s="15">
        <v>650000</v>
      </c>
      <c r="I98" s="15">
        <f t="shared" si="2"/>
        <v>650000</v>
      </c>
      <c r="J98" s="14" t="s">
        <v>823</v>
      </c>
    </row>
    <row r="99" spans="1:10" ht="12.5" x14ac:dyDescent="0.25">
      <c r="A99" s="12" t="s">
        <v>280</v>
      </c>
      <c r="B99" s="12">
        <v>29</v>
      </c>
      <c r="C99" s="12" t="s">
        <v>789</v>
      </c>
      <c r="D99" s="13" t="s">
        <v>812</v>
      </c>
      <c r="E99" s="12" t="s">
        <v>22</v>
      </c>
      <c r="F99" s="12">
        <v>1</v>
      </c>
      <c r="G99" s="14" t="s">
        <v>81</v>
      </c>
      <c r="H99" s="15">
        <v>530000</v>
      </c>
      <c r="I99" s="15">
        <f t="shared" si="2"/>
        <v>530000</v>
      </c>
      <c r="J99" s="13" t="s">
        <v>813</v>
      </c>
    </row>
    <row r="100" spans="1:10" ht="12.5" x14ac:dyDescent="0.25">
      <c r="A100" s="12" t="s">
        <v>281</v>
      </c>
      <c r="B100" s="12">
        <v>29</v>
      </c>
      <c r="C100" s="12" t="s">
        <v>51</v>
      </c>
      <c r="D100" s="13" t="s">
        <v>824</v>
      </c>
      <c r="E100" s="12" t="s">
        <v>22</v>
      </c>
      <c r="F100" s="12">
        <v>1</v>
      </c>
      <c r="G100" s="14" t="s">
        <v>81</v>
      </c>
      <c r="H100" s="15">
        <v>200000</v>
      </c>
      <c r="I100" s="15">
        <f t="shared" si="2"/>
        <v>200000</v>
      </c>
      <c r="J100" s="21" t="s">
        <v>825</v>
      </c>
    </row>
    <row r="101" spans="1:10" ht="12.5" x14ac:dyDescent="0.25">
      <c r="A101" s="12" t="s">
        <v>282</v>
      </c>
      <c r="B101" s="12">
        <v>29</v>
      </c>
      <c r="C101" s="12" t="s">
        <v>83</v>
      </c>
      <c r="D101" s="13" t="s">
        <v>826</v>
      </c>
      <c r="E101" s="12" t="s">
        <v>22</v>
      </c>
      <c r="F101" s="12">
        <v>1</v>
      </c>
      <c r="G101" s="14" t="s">
        <v>81</v>
      </c>
      <c r="H101" s="15">
        <v>140000</v>
      </c>
      <c r="I101" s="15">
        <f t="shared" si="2"/>
        <v>140000</v>
      </c>
      <c r="J101" s="13" t="s">
        <v>386</v>
      </c>
    </row>
    <row r="102" spans="1:10" ht="12.5" x14ac:dyDescent="0.25">
      <c r="A102" s="12" t="s">
        <v>283</v>
      </c>
      <c r="B102" s="12">
        <v>30</v>
      </c>
      <c r="C102" s="12" t="s">
        <v>51</v>
      </c>
      <c r="D102" s="13" t="s">
        <v>671</v>
      </c>
      <c r="E102" s="12" t="s">
        <v>22</v>
      </c>
      <c r="F102" s="12">
        <v>1</v>
      </c>
      <c r="G102" s="14" t="s">
        <v>81</v>
      </c>
      <c r="H102" s="15">
        <v>350000</v>
      </c>
      <c r="I102" s="15">
        <f t="shared" si="2"/>
        <v>350000</v>
      </c>
      <c r="J102" s="13" t="s">
        <v>827</v>
      </c>
    </row>
    <row r="103" spans="1:10" ht="12.5" x14ac:dyDescent="0.25">
      <c r="A103" s="12">
        <v>84</v>
      </c>
      <c r="B103" s="12">
        <v>31</v>
      </c>
      <c r="C103" s="12" t="s">
        <v>51</v>
      </c>
      <c r="D103" s="13" t="s">
        <v>828</v>
      </c>
      <c r="E103" s="12" t="s">
        <v>22</v>
      </c>
      <c r="F103" s="12">
        <v>1</v>
      </c>
      <c r="G103" s="14" t="s">
        <v>81</v>
      </c>
      <c r="H103" s="15">
        <v>1015000</v>
      </c>
      <c r="I103" s="15">
        <f t="shared" si="2"/>
        <v>1015000</v>
      </c>
      <c r="J103" s="13" t="s">
        <v>459</v>
      </c>
    </row>
    <row r="104" spans="1:10" ht="12.5" x14ac:dyDescent="0.25">
      <c r="A104" s="12" t="s">
        <v>285</v>
      </c>
      <c r="B104" s="12">
        <v>31</v>
      </c>
      <c r="C104" s="12" t="s">
        <v>10</v>
      </c>
      <c r="D104" s="13" t="s">
        <v>829</v>
      </c>
      <c r="E104" s="12" t="s">
        <v>22</v>
      </c>
      <c r="F104" s="12">
        <v>1</v>
      </c>
      <c r="G104" s="14" t="s">
        <v>23</v>
      </c>
      <c r="H104" s="15">
        <v>1000000</v>
      </c>
      <c r="I104" s="15">
        <f t="shared" si="2"/>
        <v>1000000</v>
      </c>
      <c r="J104" s="13" t="s">
        <v>829</v>
      </c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2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2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2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2"/>
        <v>0</v>
      </c>
      <c r="J108" s="13"/>
    </row>
    <row r="109" spans="1:10" ht="12.5" x14ac:dyDescent="0.25">
      <c r="A109" s="12"/>
      <c r="B109" s="12"/>
      <c r="C109" s="12"/>
      <c r="D109" s="13"/>
      <c r="E109" s="12"/>
      <c r="F109" s="12"/>
      <c r="G109" s="14"/>
      <c r="H109" s="15"/>
      <c r="I109" s="15">
        <f t="shared" si="2"/>
        <v>0</v>
      </c>
      <c r="J109" s="13"/>
    </row>
    <row r="110" spans="1:10" ht="12.5" x14ac:dyDescent="0.25">
      <c r="A110" s="12"/>
      <c r="B110" s="12"/>
      <c r="C110" s="12"/>
      <c r="D110" s="13"/>
      <c r="E110" s="12"/>
      <c r="F110" s="12"/>
      <c r="G110" s="14"/>
      <c r="H110" s="15"/>
      <c r="I110" s="15">
        <f t="shared" si="2"/>
        <v>0</v>
      </c>
      <c r="J110" s="13"/>
    </row>
    <row r="111" spans="1:10" ht="12.5" x14ac:dyDescent="0.25">
      <c r="A111" s="12"/>
      <c r="B111" s="12"/>
      <c r="C111" s="12"/>
      <c r="D111" s="13"/>
      <c r="E111" s="12"/>
      <c r="F111" s="12"/>
      <c r="G111" s="14"/>
      <c r="H111" s="15"/>
      <c r="I111" s="15">
        <f t="shared" si="2"/>
        <v>0</v>
      </c>
      <c r="J111" s="13"/>
    </row>
    <row r="112" spans="1:10" ht="12.5" x14ac:dyDescent="0.25">
      <c r="A112" s="12"/>
      <c r="B112" s="12"/>
      <c r="C112" s="12"/>
      <c r="D112" s="13"/>
      <c r="E112" s="12"/>
      <c r="F112" s="12"/>
      <c r="G112" s="14"/>
      <c r="H112" s="15"/>
      <c r="I112" s="15">
        <f t="shared" si="2"/>
        <v>0</v>
      </c>
      <c r="J112" s="13"/>
    </row>
    <row r="113" spans="1:10" ht="12.5" x14ac:dyDescent="0.25">
      <c r="A113" s="12"/>
      <c r="B113" s="12"/>
      <c r="C113" s="12"/>
      <c r="D113" s="13"/>
      <c r="E113" s="12"/>
      <c r="F113" s="12"/>
      <c r="G113" s="14"/>
      <c r="H113" s="15"/>
      <c r="I113" s="15">
        <f t="shared" si="2"/>
        <v>0</v>
      </c>
      <c r="J113" s="13"/>
    </row>
    <row r="114" spans="1:10" ht="12.5" x14ac:dyDescent="0.25">
      <c r="A114" s="12"/>
      <c r="B114" s="12"/>
      <c r="C114" s="12"/>
      <c r="D114" s="13"/>
      <c r="E114" s="12"/>
      <c r="F114" s="12"/>
      <c r="G114" s="14"/>
      <c r="H114" s="15"/>
      <c r="I114" s="15">
        <f t="shared" si="2"/>
        <v>0</v>
      </c>
      <c r="J114" s="13"/>
    </row>
    <row r="115" spans="1:10" ht="12.5" x14ac:dyDescent="0.25">
      <c r="A115" s="12"/>
      <c r="B115" s="12"/>
      <c r="C115" s="12"/>
      <c r="D115" s="13"/>
      <c r="E115" s="12"/>
      <c r="F115" s="12"/>
      <c r="G115" s="14"/>
      <c r="H115" s="15"/>
      <c r="I115" s="15">
        <f t="shared" si="2"/>
        <v>0</v>
      </c>
      <c r="J115" s="13"/>
    </row>
    <row r="116" spans="1:10" ht="12.5" x14ac:dyDescent="0.25">
      <c r="A116" s="12"/>
      <c r="B116" s="12"/>
      <c r="C116" s="12"/>
      <c r="D116" s="13"/>
      <c r="E116" s="12"/>
      <c r="F116" s="12"/>
      <c r="G116" s="14"/>
      <c r="H116" s="15"/>
      <c r="I116" s="15">
        <f t="shared" si="2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2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2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2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2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2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2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2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2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2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2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2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2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2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2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2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2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2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2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2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2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2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2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2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2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2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2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2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2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2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2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2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2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2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2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2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2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2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2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2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2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2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2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2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2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2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2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2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2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2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2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2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2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2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2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2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2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2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2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2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2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2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2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2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2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2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2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2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2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2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2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2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2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2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2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2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2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2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2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6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3">
    <dataValidation type="list" allowBlank="1" showErrorMessage="1" sqref="E20:E194" xr:uid="{00000000-0002-0000-0600-000000000000}">
      <formula1>"One Time,Reccuring"</formula1>
    </dataValidation>
    <dataValidation type="list" allowBlank="1" showErrorMessage="1" sqref="P18 C20:C34 C37:C194" xr:uid="{00000000-0002-0000-0600-000001000000}">
      <formula1>"Stock Dagangan,Stock Bahan,Operational,Packing,Tenant,Gaji Karyawan,Team,Iklan,Aset Toko"</formula1>
    </dataValidation>
    <dataValidation type="list" allowBlank="1" showErrorMessage="1" sqref="C35:C36" xr:uid="{00000000-0002-0000-0600-000002000000}">
      <formula1>"Stock Dagangan,Stock Bahan,Operational,Packing,Tenant,Gaji Karyawan,Team,Iklan,Aset toko"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Revenue'!AL30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19421000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659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51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19421000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9679500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25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IFERROR(__xludf.DUMMYFUNCTION("filter(A20:J194,C20:C194=P18)"),"15")</f>
        <v>15</v>
      </c>
      <c r="O20" s="7">
        <f ca="1">IFERROR(__xludf.DUMMYFUNCTION("""COMPUTED_VALUE"""),1)</f>
        <v>1</v>
      </c>
      <c r="P20" s="7" t="str">
        <f ca="1">IFERROR(__xludf.DUMMYFUNCTION("""COMPUTED_VALUE"""),"Stock Dagangan")</f>
        <v>Stock Dagangan</v>
      </c>
      <c r="Q20" s="7" t="str">
        <f ca="1">IFERROR(__xludf.DUMMYFUNCTION("""COMPUTED_VALUE"""),"Bunga Rani ")</f>
        <v xml:space="preserve">Bunga Rani 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IFERROR(__xludf.DUMMYFUNCTION("""COMPUTED_VALUE"""),"bulan ")</f>
        <v xml:space="preserve">bulan </v>
      </c>
      <c r="U20" s="17">
        <f ca="1">IFERROR(__xludf.DUMMYFUNCTION("""COMPUTED_VALUE"""),155000)</f>
        <v>155000</v>
      </c>
      <c r="V20" s="17">
        <f ca="1">IFERROR(__xludf.DUMMYFUNCTION("""COMPUTED_VALUE"""),155000)</f>
        <v>155000</v>
      </c>
      <c r="W20" s="7" t="str">
        <f ca="1">IFERROR(__xludf.DUMMYFUNCTION("""COMPUTED_VALUE"""),"Rani")</f>
        <v>Rani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IFERROR(__xludf.DUMMYFUNCTION("""COMPUTED_VALUE"""),"19")</f>
        <v>19</v>
      </c>
      <c r="O21" s="7">
        <f ca="1">IFERROR(__xludf.DUMMYFUNCTION("""COMPUTED_VALUE"""),17)</f>
        <v>17</v>
      </c>
      <c r="P21" s="7" t="str">
        <f ca="1">IFERROR(__xludf.DUMMYFUNCTION("""COMPUTED_VALUE"""),"Stock Dagangan")</f>
        <v>Stock Dagangan</v>
      </c>
      <c r="Q21" s="7" t="str">
        <f ca="1">IFERROR(__xludf.DUMMYFUNCTION("""COMPUTED_VALUE"""),"gelang couple")</f>
        <v>gelang couple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IFERROR(__xludf.DUMMYFUNCTION("""COMPUTED_VALUE"""),"bulan ")</f>
        <v xml:space="preserve">bulan </v>
      </c>
      <c r="U21" s="17">
        <f ca="1">IFERROR(__xludf.DUMMYFUNCTION("""COMPUTED_VALUE"""),962500)</f>
        <v>962500</v>
      </c>
      <c r="V21" s="17">
        <f ca="1">IFERROR(__xludf.DUMMYFUNCTION("""COMPUTED_VALUE"""),962500)</f>
        <v>962500</v>
      </c>
      <c r="W21" s="7" t="str">
        <f ca="1">IFERROR(__xludf.DUMMYFUNCTION("""COMPUTED_VALUE"""),"lovelyhand project")</f>
        <v>lovelyhand project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IFERROR(__xludf.DUMMYFUNCTION("""COMPUTED_VALUE"""),"20")</f>
        <v>20</v>
      </c>
      <c r="O22" s="7">
        <f ca="1">IFERROR(__xludf.DUMMYFUNCTION("""COMPUTED_VALUE"""),14)</f>
        <v>14</v>
      </c>
      <c r="P22" s="7" t="str">
        <f ca="1">IFERROR(__xludf.DUMMYFUNCTION("""COMPUTED_VALUE"""),"Stock Dagangan")</f>
        <v>Stock Dagangan</v>
      </c>
      <c r="Q22" s="7" t="str">
        <f ca="1">IFERROR(__xludf.DUMMYFUNCTION("""COMPUTED_VALUE"""),"gelang kerang")</f>
        <v>gelang kerang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IFERROR(__xludf.DUMMYFUNCTION("""COMPUTED_VALUE"""),"paket")</f>
        <v>paket</v>
      </c>
      <c r="U22" s="17">
        <f ca="1">IFERROR(__xludf.DUMMYFUNCTION("""COMPUTED_VALUE"""),1265000)</f>
        <v>1265000</v>
      </c>
      <c r="V22" s="17">
        <f ca="1">IFERROR(__xludf.DUMMYFUNCTION("""COMPUTED_VALUE"""),1265000)</f>
        <v>1265000</v>
      </c>
      <c r="W22" s="7" t="str">
        <f ca="1">IFERROR(__xludf.DUMMYFUNCTION("""COMPUTED_VALUE"""),"craft dewata")</f>
        <v>craft dewata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 t="str">
        <f ca="1">IFERROR(__xludf.DUMMYFUNCTION("""COMPUTED_VALUE"""),"21")</f>
        <v>21</v>
      </c>
      <c r="O23" s="7">
        <f ca="1">IFERROR(__xludf.DUMMYFUNCTION("""COMPUTED_VALUE"""),2)</f>
        <v>2</v>
      </c>
      <c r="P23" s="7" t="str">
        <f ca="1">IFERROR(__xludf.DUMMYFUNCTION("""COMPUTED_VALUE"""),"Stock Dagangan")</f>
        <v>Stock Dagangan</v>
      </c>
      <c r="Q23" s="7" t="str">
        <f ca="1">IFERROR(__xludf.DUMMYFUNCTION("""COMPUTED_VALUE"""),"alat tulis")</f>
        <v>alat tulis</v>
      </c>
      <c r="R23" s="7" t="str">
        <f ca="1">IFERROR(__xludf.DUMMYFUNCTION("""COMPUTED_VALUE"""),"Reccuring")</f>
        <v>Reccuring</v>
      </c>
      <c r="S23" s="7">
        <f ca="1">IFERROR(__xludf.DUMMYFUNCTION("""COMPUTED_VALUE"""),1)</f>
        <v>1</v>
      </c>
      <c r="T23" s="16" t="str">
        <f ca="1">IFERROR(__xludf.DUMMYFUNCTION("""COMPUTED_VALUE"""),"paket")</f>
        <v>paket</v>
      </c>
      <c r="U23" s="17">
        <f ca="1">IFERROR(__xludf.DUMMYFUNCTION("""COMPUTED_VALUE"""),210000)</f>
        <v>210000</v>
      </c>
      <c r="V23" s="17">
        <f ca="1">IFERROR(__xludf.DUMMYFUNCTION("""COMPUTED_VALUE"""),210000)</f>
        <v>210000</v>
      </c>
      <c r="W23" s="7" t="str">
        <f ca="1">IFERROR(__xludf.DUMMYFUNCTION("""COMPUTED_VALUE"""),"global")</f>
        <v>global</v>
      </c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N24" s="7" t="str">
        <f ca="1">IFERROR(__xludf.DUMMYFUNCTION("""COMPUTED_VALUE"""),"22")</f>
        <v>22</v>
      </c>
      <c r="O24" s="7">
        <f ca="1">IFERROR(__xludf.DUMMYFUNCTION("""COMPUTED_VALUE"""),2)</f>
        <v>2</v>
      </c>
      <c r="P24" s="7" t="str">
        <f ca="1">IFERROR(__xludf.DUMMYFUNCTION("""COMPUTED_VALUE"""),"Stock Dagangan")</f>
        <v>Stock Dagangan</v>
      </c>
      <c r="Q24" s="7" t="str">
        <f ca="1">IFERROR(__xludf.DUMMYFUNCTION("""COMPUTED_VALUE"""),"bagcharm huruf ")</f>
        <v xml:space="preserve">bagcharm huruf </v>
      </c>
      <c r="R24" s="7" t="str">
        <f ca="1">IFERROR(__xludf.DUMMYFUNCTION("""COMPUTED_VALUE"""),"Reccuring")</f>
        <v>Reccuring</v>
      </c>
      <c r="S24" s="7">
        <f ca="1">IFERROR(__xludf.DUMMYFUNCTION("""COMPUTED_VALUE"""),1)</f>
        <v>1</v>
      </c>
      <c r="T24" s="16" t="str">
        <f ca="1">IFERROR(__xludf.DUMMYFUNCTION("""COMPUTED_VALUE"""),"paket")</f>
        <v>paket</v>
      </c>
      <c r="U24" s="17">
        <f ca="1">IFERROR(__xludf.DUMMYFUNCTION("""COMPUTED_VALUE"""),230000)</f>
        <v>230000</v>
      </c>
      <c r="V24" s="17">
        <f ca="1">IFERROR(__xludf.DUMMYFUNCTION("""COMPUTED_VALUE"""),230000)</f>
        <v>230000</v>
      </c>
      <c r="W24" s="7" t="str">
        <f ca="1">IFERROR(__xludf.DUMMYFUNCTION("""COMPUTED_VALUE"""),"This is luby")</f>
        <v>This is luby</v>
      </c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N25" s="7" t="str">
        <f ca="1">IFERROR(__xludf.DUMMYFUNCTION("""COMPUTED_VALUE"""),"24")</f>
        <v>24</v>
      </c>
      <c r="O25" s="7">
        <f ca="1">IFERROR(__xludf.DUMMYFUNCTION("""COMPUTED_VALUE"""),4)</f>
        <v>4</v>
      </c>
      <c r="P25" s="7" t="str">
        <f ca="1">IFERROR(__xludf.DUMMYFUNCTION("""COMPUTED_VALUE"""),"Stock Dagangan")</f>
        <v>Stock Dagangan</v>
      </c>
      <c r="Q25" s="7" t="str">
        <f ca="1">IFERROR(__xludf.DUMMYFUNCTION("""COMPUTED_VALUE"""),"gelang fairy")</f>
        <v>gelang fairy</v>
      </c>
      <c r="R25" s="7" t="str">
        <f ca="1">IFERROR(__xludf.DUMMYFUNCTION("""COMPUTED_VALUE"""),"Reccuring")</f>
        <v>Reccuring</v>
      </c>
      <c r="S25" s="7">
        <f ca="1">IFERROR(__xludf.DUMMYFUNCTION("""COMPUTED_VALUE"""),1)</f>
        <v>1</v>
      </c>
      <c r="T25" s="16" t="str">
        <f ca="1">IFERROR(__xludf.DUMMYFUNCTION("""COMPUTED_VALUE"""),"paket")</f>
        <v>paket</v>
      </c>
      <c r="U25" s="17">
        <f ca="1">IFERROR(__xludf.DUMMYFUNCTION("""COMPUTED_VALUE"""),95000)</f>
        <v>95000</v>
      </c>
      <c r="V25" s="17">
        <f ca="1">IFERROR(__xludf.DUMMYFUNCTION("""COMPUTED_VALUE"""),95000)</f>
        <v>95000</v>
      </c>
      <c r="W25" s="7" t="str">
        <f ca="1">IFERROR(__xludf.DUMMYFUNCTION("""COMPUTED_VALUE"""),"Fairytale acc")</f>
        <v>Fairytale acc</v>
      </c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2291000</v>
      </c>
      <c r="I26" s="15">
        <v>2075000</v>
      </c>
      <c r="J26" s="13" t="s">
        <v>37</v>
      </c>
      <c r="N26" s="7" t="str">
        <f ca="1">IFERROR(__xludf.DUMMYFUNCTION("""COMPUTED_VALUE"""),"25")</f>
        <v>25</v>
      </c>
      <c r="O26" s="7">
        <f ca="1">IFERROR(__xludf.DUMMYFUNCTION("""COMPUTED_VALUE"""),6)</f>
        <v>6</v>
      </c>
      <c r="P26" s="7" t="str">
        <f ca="1">IFERROR(__xludf.DUMMYFUNCTION("""COMPUTED_VALUE"""),"Stock Dagangan")</f>
        <v>Stock Dagangan</v>
      </c>
      <c r="Q26" s="7" t="str">
        <f ca="1">IFERROR(__xludf.DUMMYFUNCTION("""COMPUTED_VALUE"""),"gelang kerang")</f>
        <v>gelang kerang</v>
      </c>
      <c r="R26" s="7" t="str">
        <f ca="1">IFERROR(__xludf.DUMMYFUNCTION("""COMPUTED_VALUE"""),"Reccuring")</f>
        <v>Reccuring</v>
      </c>
      <c r="S26" s="7">
        <f ca="1">IFERROR(__xludf.DUMMYFUNCTION("""COMPUTED_VALUE"""),1)</f>
        <v>1</v>
      </c>
      <c r="T26" s="16" t="str">
        <f ca="1">IFERROR(__xludf.DUMMYFUNCTION("""COMPUTED_VALUE"""),"paket")</f>
        <v>paket</v>
      </c>
      <c r="U26" s="17">
        <f ca="1">IFERROR(__xludf.DUMMYFUNCTION("""COMPUTED_VALUE"""),145000)</f>
        <v>145000</v>
      </c>
      <c r="V26" s="17">
        <f ca="1">IFERROR(__xludf.DUMMYFUNCTION("""COMPUTED_VALUE"""),145000)</f>
        <v>145000</v>
      </c>
      <c r="W26" s="7" t="str">
        <f ca="1">IFERROR(__xludf.DUMMYFUNCTION("""COMPUTED_VALUE"""),"sulihtia")</f>
        <v>sulihtia</v>
      </c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2201000</v>
      </c>
      <c r="I27" s="15">
        <v>1965000</v>
      </c>
      <c r="J27" s="13" t="s">
        <v>38</v>
      </c>
      <c r="N27" s="7" t="str">
        <f ca="1">IFERROR(__xludf.DUMMYFUNCTION("""COMPUTED_VALUE"""),"26")</f>
        <v>26</v>
      </c>
      <c r="O27" s="7">
        <f ca="1">IFERROR(__xludf.DUMMYFUNCTION("""COMPUTED_VALUE"""),8)</f>
        <v>8</v>
      </c>
      <c r="P27" s="7" t="str">
        <f ca="1">IFERROR(__xludf.DUMMYFUNCTION("""COMPUTED_VALUE"""),"Stock Dagangan")</f>
        <v>Stock Dagangan</v>
      </c>
      <c r="Q27" s="7" t="str">
        <f ca="1">IFERROR(__xludf.DUMMYFUNCTION("""COMPUTED_VALUE"""),"paperbag")</f>
        <v>paperbag</v>
      </c>
      <c r="R27" s="7" t="str">
        <f ca="1">IFERROR(__xludf.DUMMYFUNCTION("""COMPUTED_VALUE"""),"Reccuring")</f>
        <v>Reccuring</v>
      </c>
      <c r="S27" s="7">
        <f ca="1">IFERROR(__xludf.DUMMYFUNCTION("""COMPUTED_VALUE"""),1)</f>
        <v>1</v>
      </c>
      <c r="T27" s="16" t="str">
        <f ca="1">IFERROR(__xludf.DUMMYFUNCTION("""COMPUTED_VALUE"""),"paket")</f>
        <v>paket</v>
      </c>
      <c r="U27" s="17">
        <f ca="1">IFERROR(__xludf.DUMMYFUNCTION("""COMPUTED_VALUE"""),250000)</f>
        <v>250000</v>
      </c>
      <c r="V27" s="17">
        <f ca="1">IFERROR(__xludf.DUMMYFUNCTION("""COMPUTED_VALUE"""),250000)</f>
        <v>250000</v>
      </c>
      <c r="W27" s="7" t="str">
        <f ca="1">IFERROR(__xludf.DUMMYFUNCTION("""COMPUTED_VALUE"""),"For Angel Jkt")</f>
        <v>For Angel Jkt</v>
      </c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3</v>
      </c>
      <c r="G28" s="14" t="s">
        <v>23</v>
      </c>
      <c r="H28" s="15">
        <v>40000</v>
      </c>
      <c r="I28" s="15">
        <f t="shared" ref="I28:I194" si="1">F28*H28</f>
        <v>120000</v>
      </c>
      <c r="J28" s="13" t="s">
        <v>41</v>
      </c>
      <c r="N28" s="7" t="str">
        <f ca="1">IFERROR(__xludf.DUMMYFUNCTION("""COMPUTED_VALUE"""),"27")</f>
        <v>27</v>
      </c>
      <c r="O28" s="7">
        <f ca="1">IFERROR(__xludf.DUMMYFUNCTION("""COMPUTED_VALUE"""),10)</f>
        <v>10</v>
      </c>
      <c r="P28" s="7" t="str">
        <f ca="1">IFERROR(__xludf.DUMMYFUNCTION("""COMPUTED_VALUE"""),"Stock Dagangan")</f>
        <v>Stock Dagangan</v>
      </c>
      <c r="Q28" s="7" t="str">
        <f ca="1">IFERROR(__xludf.DUMMYFUNCTION("""COMPUTED_VALUE"""),"Jepit jepun")</f>
        <v>Jepit jepun</v>
      </c>
      <c r="R28" s="7" t="str">
        <f ca="1">IFERROR(__xludf.DUMMYFUNCTION("""COMPUTED_VALUE"""),"Reccuring")</f>
        <v>Reccuring</v>
      </c>
      <c r="S28" s="7">
        <f ca="1">IFERROR(__xludf.DUMMYFUNCTION("""COMPUTED_VALUE"""),1)</f>
        <v>1</v>
      </c>
      <c r="T28" s="16" t="str">
        <f ca="1">IFERROR(__xludf.DUMMYFUNCTION("""COMPUTED_VALUE"""),"paket")</f>
        <v>paket</v>
      </c>
      <c r="U28" s="17">
        <f ca="1">IFERROR(__xludf.DUMMYFUNCTION("""COMPUTED_VALUE"""),505000)</f>
        <v>505000</v>
      </c>
      <c r="V28" s="17">
        <f ca="1">IFERROR(__xludf.DUMMYFUNCTION("""COMPUTED_VALUE"""),505000)</f>
        <v>505000</v>
      </c>
      <c r="W28" s="7" t="str">
        <f ca="1">IFERROR(__xludf.DUMMYFUNCTION("""COMPUTED_VALUE"""),"hlshop")</f>
        <v>hlshop</v>
      </c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3</v>
      </c>
      <c r="G29" s="14" t="s">
        <v>23</v>
      </c>
      <c r="H29" s="15">
        <v>50000</v>
      </c>
      <c r="I29" s="15">
        <f t="shared" si="1"/>
        <v>150000</v>
      </c>
      <c r="J29" s="13" t="s">
        <v>43</v>
      </c>
      <c r="N29" s="7" t="str">
        <f ca="1">IFERROR(__xludf.DUMMYFUNCTION("""COMPUTED_VALUE"""),"28")</f>
        <v>28</v>
      </c>
      <c r="O29" s="7">
        <f ca="1">IFERROR(__xludf.DUMMYFUNCTION("""COMPUTED_VALUE"""),11)</f>
        <v>11</v>
      </c>
      <c r="P29" s="7" t="str">
        <f ca="1">IFERROR(__xludf.DUMMYFUNCTION("""COMPUTED_VALUE"""),"Stock Dagangan")</f>
        <v>Stock Dagangan</v>
      </c>
      <c r="Q29" s="7" t="str">
        <f ca="1">IFERROR(__xludf.DUMMYFUNCTION("""COMPUTED_VALUE"""),"Kain pantai")</f>
        <v>Kain pantai</v>
      </c>
      <c r="R29" s="7" t="str">
        <f ca="1">IFERROR(__xludf.DUMMYFUNCTION("""COMPUTED_VALUE"""),"Reccuring")</f>
        <v>Reccuring</v>
      </c>
      <c r="S29" s="7">
        <f ca="1">IFERROR(__xludf.DUMMYFUNCTION("""COMPUTED_VALUE"""),1)</f>
        <v>1</v>
      </c>
      <c r="T29" s="16" t="str">
        <f ca="1">IFERROR(__xludf.DUMMYFUNCTION("""COMPUTED_VALUE"""),"paket")</f>
        <v>paket</v>
      </c>
      <c r="U29" s="17">
        <f ca="1">IFERROR(__xludf.DUMMYFUNCTION("""COMPUTED_VALUE"""),275000)</f>
        <v>275000</v>
      </c>
      <c r="V29" s="17">
        <f ca="1">IFERROR(__xludf.DUMMYFUNCTION("""COMPUTED_VALUE"""),275000)</f>
        <v>275000</v>
      </c>
      <c r="W29" s="7" t="str">
        <f ca="1">IFERROR(__xludf.DUMMYFUNCTION("""COMPUTED_VALUE"""),"Griesa")</f>
        <v>Griesa</v>
      </c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2</v>
      </c>
      <c r="G30" s="14" t="s">
        <v>23</v>
      </c>
      <c r="H30" s="15">
        <v>65000</v>
      </c>
      <c r="I30" s="15">
        <f t="shared" si="1"/>
        <v>130000</v>
      </c>
      <c r="J30" s="13" t="s">
        <v>44</v>
      </c>
      <c r="N30" s="7">
        <f ca="1">IFERROR(__xludf.DUMMYFUNCTION("""COMPUTED_VALUE"""),29)</f>
        <v>29</v>
      </c>
      <c r="O30" s="7">
        <f ca="1">IFERROR(__xludf.DUMMYFUNCTION("""COMPUTED_VALUE"""),12)</f>
        <v>12</v>
      </c>
      <c r="P30" s="7" t="str">
        <f ca="1">IFERROR(__xludf.DUMMYFUNCTION("""COMPUTED_VALUE"""),"Stock Dagangan")</f>
        <v>Stock Dagangan</v>
      </c>
      <c r="Q30" s="7" t="str">
        <f ca="1">IFERROR(__xludf.DUMMYFUNCTION("""COMPUTED_VALUE"""),"bando 17")</f>
        <v>bando 17</v>
      </c>
      <c r="R30" s="7" t="str">
        <f ca="1">IFERROR(__xludf.DUMMYFUNCTION("""COMPUTED_VALUE"""),"Reccuring")</f>
        <v>Reccuring</v>
      </c>
      <c r="S30" s="7">
        <f ca="1">IFERROR(__xludf.DUMMYFUNCTION("""COMPUTED_VALUE"""),1)</f>
        <v>1</v>
      </c>
      <c r="T30" s="16" t="str">
        <f ca="1">IFERROR(__xludf.DUMMYFUNCTION("""COMPUTED_VALUE"""),"paket")</f>
        <v>paket</v>
      </c>
      <c r="U30" s="17">
        <f ca="1">IFERROR(__xludf.DUMMYFUNCTION("""COMPUTED_VALUE"""),85000)</f>
        <v>85000</v>
      </c>
      <c r="V30" s="17">
        <f ca="1">IFERROR(__xludf.DUMMYFUNCTION("""COMPUTED_VALUE"""),85000)</f>
        <v>85000</v>
      </c>
      <c r="W30" s="7" t="str">
        <f ca="1">IFERROR(__xludf.DUMMYFUNCTION("""COMPUTED_VALUE"""),"Redshaf")</f>
        <v>Redshaf</v>
      </c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1"/>
        <v>100000</v>
      </c>
      <c r="J31" s="13" t="s">
        <v>46</v>
      </c>
      <c r="N31" s="7" t="str">
        <f ca="1">IFERROR(__xludf.DUMMYFUNCTION("""COMPUTED_VALUE"""),"30")</f>
        <v>30</v>
      </c>
      <c r="O31" s="7">
        <f ca="1">IFERROR(__xludf.DUMMYFUNCTION("""COMPUTED_VALUE"""),12)</f>
        <v>12</v>
      </c>
      <c r="P31" s="7" t="str">
        <f ca="1">IFERROR(__xludf.DUMMYFUNCTION("""COMPUTED_VALUE"""),"Stock Dagangan")</f>
        <v>Stock Dagangan</v>
      </c>
      <c r="Q31" s="7" t="str">
        <f ca="1">IFERROR(__xludf.DUMMYFUNCTION("""COMPUTED_VALUE"""),"Jeday Kotak Gliter ")</f>
        <v xml:space="preserve">Jeday Kotak Gliter </v>
      </c>
      <c r="R31" s="7" t="str">
        <f ca="1">IFERROR(__xludf.DUMMYFUNCTION("""COMPUTED_VALUE"""),"Reccuring")</f>
        <v>Reccuring</v>
      </c>
      <c r="S31" s="7">
        <f ca="1">IFERROR(__xludf.DUMMYFUNCTION("""COMPUTED_VALUE"""),1)</f>
        <v>1</v>
      </c>
      <c r="T31" s="16" t="str">
        <f ca="1">IFERROR(__xludf.DUMMYFUNCTION("""COMPUTED_VALUE"""),"paket")</f>
        <v>paket</v>
      </c>
      <c r="U31" s="17">
        <f ca="1">IFERROR(__xludf.DUMMYFUNCTION("""COMPUTED_VALUE"""),355000)</f>
        <v>355000</v>
      </c>
      <c r="V31" s="17">
        <f ca="1">IFERROR(__xludf.DUMMYFUNCTION("""COMPUTED_VALUE"""),355000)</f>
        <v>355000</v>
      </c>
      <c r="W31" s="7" t="str">
        <f ca="1">IFERROR(__xludf.DUMMYFUNCTION("""COMPUTED_VALUE"""),"Quality Store ")</f>
        <v xml:space="preserve">Quality Store </v>
      </c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1"/>
        <v>300000</v>
      </c>
      <c r="J32" s="13" t="s">
        <v>48</v>
      </c>
      <c r="N32" s="7" t="str">
        <f ca="1">IFERROR(__xludf.DUMMYFUNCTION("""COMPUTED_VALUE"""),"31")</f>
        <v>31</v>
      </c>
      <c r="O32" s="7">
        <f ca="1">IFERROR(__xludf.DUMMYFUNCTION("""COMPUTED_VALUE"""),13)</f>
        <v>13</v>
      </c>
      <c r="P32" s="7" t="str">
        <f ca="1">IFERROR(__xludf.DUMMYFUNCTION("""COMPUTED_VALUE"""),"Stock Dagangan")</f>
        <v>Stock Dagangan</v>
      </c>
      <c r="Q32" s="7" t="str">
        <f ca="1">IFERROR(__xludf.DUMMYFUNCTION("""COMPUTED_VALUE"""),"Kalung bintang batu alam")</f>
        <v>Kalung bintang batu alam</v>
      </c>
      <c r="R32" s="7" t="str">
        <f ca="1">IFERROR(__xludf.DUMMYFUNCTION("""COMPUTED_VALUE"""),"Reccuring")</f>
        <v>Reccuring</v>
      </c>
      <c r="S32" s="7">
        <f ca="1">IFERROR(__xludf.DUMMYFUNCTION("""COMPUTED_VALUE"""),1)</f>
        <v>1</v>
      </c>
      <c r="T32" s="16" t="str">
        <f ca="1">IFERROR(__xludf.DUMMYFUNCTION("""COMPUTED_VALUE"""),"paket")</f>
        <v>paket</v>
      </c>
      <c r="U32" s="17">
        <f ca="1">IFERROR(__xludf.DUMMYFUNCTION("""COMPUTED_VALUE"""),140000)</f>
        <v>140000</v>
      </c>
      <c r="V32" s="17">
        <f ca="1">IFERROR(__xludf.DUMMYFUNCTION("""COMPUTED_VALUE"""),140000)</f>
        <v>140000</v>
      </c>
      <c r="W32" s="7" t="str">
        <f ca="1">IFERROR(__xludf.DUMMYFUNCTION("""COMPUTED_VALUE"""),"moving on")</f>
        <v>moving on</v>
      </c>
    </row>
    <row r="33" spans="1:23" ht="12.5" x14ac:dyDescent="0.25">
      <c r="A33" s="12" t="s">
        <v>127</v>
      </c>
      <c r="B33" s="12">
        <v>1</v>
      </c>
      <c r="C33" s="12" t="s">
        <v>660</v>
      </c>
      <c r="D33" s="21" t="s">
        <v>661</v>
      </c>
      <c r="E33" s="12" t="s">
        <v>22</v>
      </c>
      <c r="F33" s="12">
        <v>1</v>
      </c>
      <c r="G33" s="14" t="s">
        <v>23</v>
      </c>
      <c r="H33" s="15">
        <v>800000</v>
      </c>
      <c r="I33" s="15">
        <f t="shared" si="1"/>
        <v>800000</v>
      </c>
      <c r="J33" s="13" t="s">
        <v>662</v>
      </c>
      <c r="N33" s="7" t="str">
        <f ca="1">IFERROR(__xludf.DUMMYFUNCTION("""COMPUTED_VALUE"""),"32")</f>
        <v>32</v>
      </c>
      <c r="O33" s="7">
        <f ca="1">IFERROR(__xludf.DUMMYFUNCTION("""COMPUTED_VALUE"""),13)</f>
        <v>13</v>
      </c>
      <c r="P33" s="7" t="str">
        <f ca="1">IFERROR(__xludf.DUMMYFUNCTION("""COMPUTED_VALUE"""),"Stock Dagangan")</f>
        <v>Stock Dagangan</v>
      </c>
      <c r="Q33" s="7" t="str">
        <f ca="1">IFERROR(__xludf.DUMMYFUNCTION("""COMPUTED_VALUE"""),"Anting kundangan")</f>
        <v>Anting kundangan</v>
      </c>
      <c r="R33" s="7" t="str">
        <f ca="1">IFERROR(__xludf.DUMMYFUNCTION("""COMPUTED_VALUE"""),"Reccuring")</f>
        <v>Reccuring</v>
      </c>
      <c r="S33" s="7">
        <f ca="1">IFERROR(__xludf.DUMMYFUNCTION("""COMPUTED_VALUE"""),1)</f>
        <v>1</v>
      </c>
      <c r="T33" s="16" t="str">
        <f ca="1">IFERROR(__xludf.DUMMYFUNCTION("""COMPUTED_VALUE"""),"paket")</f>
        <v>paket</v>
      </c>
      <c r="U33" s="17">
        <f ca="1">IFERROR(__xludf.DUMMYFUNCTION("""COMPUTED_VALUE"""),160000)</f>
        <v>160000</v>
      </c>
      <c r="V33" s="17">
        <f ca="1">IFERROR(__xludf.DUMMYFUNCTION("""COMPUTED_VALUE"""),160000)</f>
        <v>160000</v>
      </c>
      <c r="W33" s="7" t="str">
        <f ca="1">IFERROR(__xludf.DUMMYFUNCTION("""COMPUTED_VALUE"""),"Jerry Toko")</f>
        <v>Jerry Toko</v>
      </c>
    </row>
    <row r="34" spans="1:23" ht="12.5" x14ac:dyDescent="0.25">
      <c r="A34" s="12" t="s">
        <v>128</v>
      </c>
      <c r="B34" s="12">
        <v>1</v>
      </c>
      <c r="C34" s="12" t="s">
        <v>51</v>
      </c>
      <c r="D34" s="21" t="s">
        <v>663</v>
      </c>
      <c r="E34" s="12" t="s">
        <v>22</v>
      </c>
      <c r="F34" s="12">
        <v>1</v>
      </c>
      <c r="G34" s="14" t="s">
        <v>23</v>
      </c>
      <c r="H34" s="15">
        <v>155000</v>
      </c>
      <c r="I34" s="15">
        <f t="shared" si="1"/>
        <v>155000</v>
      </c>
      <c r="J34" s="13" t="s">
        <v>664</v>
      </c>
      <c r="N34" s="7" t="str">
        <f ca="1">IFERROR(__xludf.DUMMYFUNCTION("""COMPUTED_VALUE"""),"33")</f>
        <v>33</v>
      </c>
      <c r="O34" s="7">
        <f ca="1">IFERROR(__xludf.DUMMYFUNCTION("""COMPUTED_VALUE"""),13)</f>
        <v>13</v>
      </c>
      <c r="P34" s="7" t="str">
        <f ca="1">IFERROR(__xludf.DUMMYFUNCTION("""COMPUTED_VALUE"""),"Stock Dagangan")</f>
        <v>Stock Dagangan</v>
      </c>
      <c r="Q34" s="7" t="str">
        <f ca="1">IFERROR(__xludf.DUMMYFUNCTION("""COMPUTED_VALUE"""),"scrunchie")</f>
        <v>scrunchie</v>
      </c>
      <c r="R34" s="7" t="str">
        <f ca="1">IFERROR(__xludf.DUMMYFUNCTION("""COMPUTED_VALUE"""),"Reccuring")</f>
        <v>Reccuring</v>
      </c>
      <c r="S34" s="7">
        <f ca="1">IFERROR(__xludf.DUMMYFUNCTION("""COMPUTED_VALUE"""),1)</f>
        <v>1</v>
      </c>
      <c r="T34" s="16" t="str">
        <f ca="1">IFERROR(__xludf.DUMMYFUNCTION("""COMPUTED_VALUE"""),"paket")</f>
        <v>paket</v>
      </c>
      <c r="U34" s="17">
        <f ca="1">IFERROR(__xludf.DUMMYFUNCTION("""COMPUTED_VALUE"""),120000)</f>
        <v>120000</v>
      </c>
      <c r="V34" s="17">
        <f ca="1">IFERROR(__xludf.DUMMYFUNCTION("""COMPUTED_VALUE"""),120000)</f>
        <v>120000</v>
      </c>
      <c r="W34" s="7" t="str">
        <f ca="1">IFERROR(__xludf.DUMMYFUNCTION("""COMPUTED_VALUE"""),"malikabando")</f>
        <v>malikabando</v>
      </c>
    </row>
    <row r="35" spans="1:23" ht="12.5" x14ac:dyDescent="0.25">
      <c r="A35" s="12" t="s">
        <v>129</v>
      </c>
      <c r="B35" s="12">
        <v>4</v>
      </c>
      <c r="C35" s="12" t="s">
        <v>73</v>
      </c>
      <c r="D35" s="21" t="s">
        <v>665</v>
      </c>
      <c r="E35" s="12" t="s">
        <v>22</v>
      </c>
      <c r="F35" s="12">
        <v>1</v>
      </c>
      <c r="G35" s="14" t="s">
        <v>23</v>
      </c>
      <c r="H35" s="15">
        <v>18000</v>
      </c>
      <c r="I35" s="15">
        <f t="shared" si="1"/>
        <v>18000</v>
      </c>
      <c r="J35" s="13" t="s">
        <v>666</v>
      </c>
      <c r="N35" s="7" t="str">
        <f ca="1">IFERROR(__xludf.DUMMYFUNCTION("""COMPUTED_VALUE"""),"34")</f>
        <v>34</v>
      </c>
      <c r="O35" s="7">
        <f ca="1">IFERROR(__xludf.DUMMYFUNCTION("""COMPUTED_VALUE"""),13)</f>
        <v>13</v>
      </c>
      <c r="P35" s="7" t="str">
        <f ca="1">IFERROR(__xludf.DUMMYFUNCTION("""COMPUTED_VALUE"""),"Stock Dagangan")</f>
        <v>Stock Dagangan</v>
      </c>
      <c r="Q35" s="7" t="str">
        <f ca="1">IFERROR(__xludf.DUMMYFUNCTION("""COMPUTED_VALUE"""),"Ganci pelangi")</f>
        <v>Ganci pelangi</v>
      </c>
      <c r="R35" s="7" t="str">
        <f ca="1">IFERROR(__xludf.DUMMYFUNCTION("""COMPUTED_VALUE"""),"Reccuring")</f>
        <v>Reccuring</v>
      </c>
      <c r="S35" s="7">
        <f ca="1">IFERROR(__xludf.DUMMYFUNCTION("""COMPUTED_VALUE"""),1)</f>
        <v>1</v>
      </c>
      <c r="T35" s="16" t="str">
        <f ca="1">IFERROR(__xludf.DUMMYFUNCTION("""COMPUTED_VALUE"""),"paket")</f>
        <v>paket</v>
      </c>
      <c r="U35" s="17">
        <f ca="1">IFERROR(__xludf.DUMMYFUNCTION("""COMPUTED_VALUE"""),100000)</f>
        <v>100000</v>
      </c>
      <c r="V35" s="17">
        <f ca="1">IFERROR(__xludf.DUMMYFUNCTION("""COMPUTED_VALUE"""),100000)</f>
        <v>100000</v>
      </c>
      <c r="W35" s="7" t="str">
        <f ca="1">IFERROR(__xludf.DUMMYFUNCTION("""COMPUTED_VALUE"""),"Colarist id ")</f>
        <v xml:space="preserve">Colarist id </v>
      </c>
    </row>
    <row r="36" spans="1:23" ht="12.5" x14ac:dyDescent="0.25">
      <c r="A36" s="12" t="s">
        <v>130</v>
      </c>
      <c r="B36" s="12">
        <v>18</v>
      </c>
      <c r="C36" s="12" t="s">
        <v>73</v>
      </c>
      <c r="D36" s="21" t="s">
        <v>665</v>
      </c>
      <c r="E36" s="12" t="s">
        <v>22</v>
      </c>
      <c r="F36" s="12">
        <v>1</v>
      </c>
      <c r="G36" s="14" t="s">
        <v>23</v>
      </c>
      <c r="H36" s="15">
        <v>36000</v>
      </c>
      <c r="I36" s="15">
        <f t="shared" si="1"/>
        <v>36000</v>
      </c>
      <c r="J36" s="13" t="s">
        <v>666</v>
      </c>
      <c r="N36" s="7" t="str">
        <f ca="1">IFERROR(__xludf.DUMMYFUNCTION("""COMPUTED_VALUE"""),"35")</f>
        <v>35</v>
      </c>
      <c r="O36" s="7">
        <f ca="1">IFERROR(__xludf.DUMMYFUNCTION("""COMPUTED_VALUE"""),13)</f>
        <v>13</v>
      </c>
      <c r="P36" s="7" t="str">
        <f ca="1">IFERROR(__xludf.DUMMYFUNCTION("""COMPUTED_VALUE"""),"Stock Dagangan")</f>
        <v>Stock Dagangan</v>
      </c>
      <c r="Q36" s="7" t="str">
        <f ca="1">IFERROR(__xludf.DUMMYFUNCTION("""COMPUTED_VALUE"""),"Ganci bunga daisy ")</f>
        <v xml:space="preserve">Ganci bunga daisy </v>
      </c>
      <c r="R36" s="7" t="str">
        <f ca="1">IFERROR(__xludf.DUMMYFUNCTION("""COMPUTED_VALUE"""),"Reccuring")</f>
        <v>Reccuring</v>
      </c>
      <c r="S36" s="7">
        <f ca="1">IFERROR(__xludf.DUMMYFUNCTION("""COMPUTED_VALUE"""),1)</f>
        <v>1</v>
      </c>
      <c r="T36" s="16" t="str">
        <f ca="1">IFERROR(__xludf.DUMMYFUNCTION("""COMPUTED_VALUE"""),"paket")</f>
        <v>paket</v>
      </c>
      <c r="U36" s="16">
        <f ca="1">IFERROR(__xludf.DUMMYFUNCTION("""COMPUTED_VALUE"""),80000)</f>
        <v>80000</v>
      </c>
      <c r="V36" s="16">
        <f ca="1">IFERROR(__xludf.DUMMYFUNCTION("""COMPUTED_VALUE"""),80000)</f>
        <v>80000</v>
      </c>
      <c r="W36" s="7" t="str">
        <f ca="1">IFERROR(__xludf.DUMMYFUNCTION("""COMPUTED_VALUE"""),"bahan craft murah blitar")</f>
        <v>bahan craft murah blitar</v>
      </c>
    </row>
    <row r="37" spans="1:23" ht="12.5" x14ac:dyDescent="0.25">
      <c r="A37" s="12" t="s">
        <v>131</v>
      </c>
      <c r="B37" s="12">
        <v>25</v>
      </c>
      <c r="C37" s="12" t="s">
        <v>73</v>
      </c>
      <c r="D37" s="21" t="s">
        <v>665</v>
      </c>
      <c r="E37" s="12" t="s">
        <v>22</v>
      </c>
      <c r="F37" s="12">
        <v>1</v>
      </c>
      <c r="G37" s="14" t="s">
        <v>23</v>
      </c>
      <c r="H37" s="15">
        <v>36000</v>
      </c>
      <c r="I37" s="15">
        <f t="shared" si="1"/>
        <v>36000</v>
      </c>
      <c r="J37" s="13" t="s">
        <v>666</v>
      </c>
      <c r="N37" s="7" t="str">
        <f ca="1">IFERROR(__xludf.DUMMYFUNCTION("""COMPUTED_VALUE"""),"36")</f>
        <v>36</v>
      </c>
      <c r="O37" s="7">
        <f ca="1">IFERROR(__xludf.DUMMYFUNCTION("""COMPUTED_VALUE"""),13)</f>
        <v>13</v>
      </c>
      <c r="P37" s="7" t="str">
        <f ca="1">IFERROR(__xludf.DUMMYFUNCTION("""COMPUTED_VALUE"""),"Stock Dagangan")</f>
        <v>Stock Dagangan</v>
      </c>
      <c r="Q37" s="7" t="str">
        <f ca="1">IFERROR(__xludf.DUMMYFUNCTION("""COMPUTED_VALUE"""),"Ganci anggrek  ")</f>
        <v xml:space="preserve">Ganci anggrek  </v>
      </c>
      <c r="R37" s="7" t="str">
        <f ca="1">IFERROR(__xludf.DUMMYFUNCTION("""COMPUTED_VALUE"""),"Reccuring")</f>
        <v>Reccuring</v>
      </c>
      <c r="S37" s="7">
        <f ca="1">IFERROR(__xludf.DUMMYFUNCTION("""COMPUTED_VALUE"""),1)</f>
        <v>1</v>
      </c>
      <c r="T37" s="16" t="str">
        <f ca="1">IFERROR(__xludf.DUMMYFUNCTION("""COMPUTED_VALUE"""),"paket")</f>
        <v>paket</v>
      </c>
      <c r="U37" s="16">
        <f ca="1">IFERROR(__xludf.DUMMYFUNCTION("""COMPUTED_VALUE"""),105000)</f>
        <v>105000</v>
      </c>
      <c r="V37" s="16">
        <f ca="1">IFERROR(__xludf.DUMMYFUNCTION("""COMPUTED_VALUE"""),105000)</f>
        <v>105000</v>
      </c>
      <c r="W37" s="7" t="str">
        <f ca="1">IFERROR(__xludf.DUMMYFUNCTION("""COMPUTED_VALUE"""),"Die Blume Studio ")</f>
        <v xml:space="preserve">Die Blume Studio </v>
      </c>
    </row>
    <row r="38" spans="1:23" ht="12.5" x14ac:dyDescent="0.25">
      <c r="A38" s="12" t="s">
        <v>135</v>
      </c>
      <c r="B38" s="12">
        <v>17</v>
      </c>
      <c r="C38" s="12" t="s">
        <v>51</v>
      </c>
      <c r="D38" s="21" t="s">
        <v>667</v>
      </c>
      <c r="E38" s="12" t="s">
        <v>22</v>
      </c>
      <c r="F38" s="12">
        <v>1</v>
      </c>
      <c r="G38" s="14" t="s">
        <v>23</v>
      </c>
      <c r="H38" s="15">
        <v>962500</v>
      </c>
      <c r="I38" s="15">
        <f t="shared" si="1"/>
        <v>962500</v>
      </c>
      <c r="J38" s="13" t="s">
        <v>668</v>
      </c>
      <c r="N38" s="7" t="str">
        <f ca="1">IFERROR(__xludf.DUMMYFUNCTION("""COMPUTED_VALUE"""),"38")</f>
        <v>38</v>
      </c>
      <c r="O38" s="7">
        <f ca="1">IFERROR(__xludf.DUMMYFUNCTION("""COMPUTED_VALUE"""),14)</f>
        <v>14</v>
      </c>
      <c r="P38" s="7" t="str">
        <f ca="1">IFERROR(__xludf.DUMMYFUNCTION("""COMPUTED_VALUE"""),"Stock Dagangan")</f>
        <v>Stock Dagangan</v>
      </c>
      <c r="Q38" s="7" t="str">
        <f ca="1">IFERROR(__xludf.DUMMYFUNCTION("""COMPUTED_VALUE"""),"Sisir Anak ")</f>
        <v xml:space="preserve">Sisir Anak </v>
      </c>
      <c r="R38" s="7" t="str">
        <f ca="1">IFERROR(__xludf.DUMMYFUNCTION("""COMPUTED_VALUE"""),"Reccuring")</f>
        <v>Reccuring</v>
      </c>
      <c r="S38" s="7">
        <f ca="1">IFERROR(__xludf.DUMMYFUNCTION("""COMPUTED_VALUE"""),1)</f>
        <v>1</v>
      </c>
      <c r="T38" s="16" t="str">
        <f ca="1">IFERROR(__xludf.DUMMYFUNCTION("""COMPUTED_VALUE"""),"paket")</f>
        <v>paket</v>
      </c>
      <c r="U38" s="16">
        <f ca="1">IFERROR(__xludf.DUMMYFUNCTION("""COMPUTED_VALUE"""),205000)</f>
        <v>205000</v>
      </c>
      <c r="V38" s="16">
        <f ca="1">IFERROR(__xludf.DUMMYFUNCTION("""COMPUTED_VALUE"""),205000)</f>
        <v>205000</v>
      </c>
      <c r="W38" s="7" t="str">
        <f ca="1">IFERROR(__xludf.DUMMYFUNCTION("""COMPUTED_VALUE"""),"Kidei Official Store ")</f>
        <v xml:space="preserve">Kidei Official Store </v>
      </c>
    </row>
    <row r="39" spans="1:23" ht="12.5" x14ac:dyDescent="0.25">
      <c r="A39" s="12" t="s">
        <v>138</v>
      </c>
      <c r="B39" s="12">
        <v>14</v>
      </c>
      <c r="C39" s="12" t="s">
        <v>51</v>
      </c>
      <c r="D39" s="21" t="s">
        <v>669</v>
      </c>
      <c r="E39" s="12" t="s">
        <v>22</v>
      </c>
      <c r="F39" s="12">
        <v>1</v>
      </c>
      <c r="G39" s="14" t="s">
        <v>81</v>
      </c>
      <c r="H39" s="15">
        <v>1265000</v>
      </c>
      <c r="I39" s="15">
        <f t="shared" si="1"/>
        <v>1265000</v>
      </c>
      <c r="J39" s="13" t="s">
        <v>670</v>
      </c>
      <c r="N39" s="7" t="str">
        <f ca="1">IFERROR(__xludf.DUMMYFUNCTION("""COMPUTED_VALUE"""),"39")</f>
        <v>39</v>
      </c>
      <c r="O39" s="7">
        <f ca="1">IFERROR(__xludf.DUMMYFUNCTION("""COMPUTED_VALUE"""),14)</f>
        <v>14</v>
      </c>
      <c r="P39" s="7" t="str">
        <f ca="1">IFERROR(__xludf.DUMMYFUNCTION("""COMPUTED_VALUE"""),"Stock Dagangan")</f>
        <v>Stock Dagangan</v>
      </c>
      <c r="Q39" s="7" t="str">
        <f ca="1">IFERROR(__xludf.DUMMYFUNCTION("""COMPUTED_VALUE"""),"Jeday Jepun ")</f>
        <v xml:space="preserve">Jeday Jepun </v>
      </c>
      <c r="R39" s="7" t="str">
        <f ca="1">IFERROR(__xludf.DUMMYFUNCTION("""COMPUTED_VALUE"""),"Reccuring")</f>
        <v>Reccuring</v>
      </c>
      <c r="S39" s="7">
        <f ca="1">IFERROR(__xludf.DUMMYFUNCTION("""COMPUTED_VALUE"""),1)</f>
        <v>1</v>
      </c>
      <c r="T39" s="16" t="str">
        <f ca="1">IFERROR(__xludf.DUMMYFUNCTION("""COMPUTED_VALUE"""),"paket ")</f>
        <v xml:space="preserve">paket </v>
      </c>
      <c r="U39" s="16">
        <f ca="1">IFERROR(__xludf.DUMMYFUNCTION("""COMPUTED_VALUE"""),215000)</f>
        <v>215000</v>
      </c>
      <c r="V39" s="16">
        <f ca="1">IFERROR(__xludf.DUMMYFUNCTION("""COMPUTED_VALUE"""),215000)</f>
        <v>215000</v>
      </c>
      <c r="W39" s="7" t="str">
        <f ca="1">IFERROR(__xludf.DUMMYFUNCTION("""COMPUTED_VALUE"""),"Oura Accesories ")</f>
        <v xml:space="preserve">Oura Accesories </v>
      </c>
    </row>
    <row r="40" spans="1:23" ht="12.5" x14ac:dyDescent="0.25">
      <c r="A40" s="12" t="s">
        <v>141</v>
      </c>
      <c r="B40" s="12">
        <v>2</v>
      </c>
      <c r="C40" s="12" t="s">
        <v>51</v>
      </c>
      <c r="D40" s="21" t="s">
        <v>671</v>
      </c>
      <c r="E40" s="12" t="s">
        <v>22</v>
      </c>
      <c r="F40" s="12">
        <v>1</v>
      </c>
      <c r="G40" s="14" t="s">
        <v>81</v>
      </c>
      <c r="H40" s="15">
        <v>210000</v>
      </c>
      <c r="I40" s="15">
        <f t="shared" si="1"/>
        <v>210000</v>
      </c>
      <c r="J40" s="13" t="s">
        <v>672</v>
      </c>
      <c r="N40" s="7" t="str">
        <f ca="1">IFERROR(__xludf.DUMMYFUNCTION("""COMPUTED_VALUE"""),"40")</f>
        <v>40</v>
      </c>
      <c r="O40" s="7">
        <f ca="1">IFERROR(__xludf.DUMMYFUNCTION("""COMPUTED_VALUE"""),14)</f>
        <v>14</v>
      </c>
      <c r="P40" s="7" t="str">
        <f ca="1">IFERROR(__xludf.DUMMYFUNCTION("""COMPUTED_VALUE"""),"Stock Dagangan")</f>
        <v>Stock Dagangan</v>
      </c>
      <c r="Q40" s="7" t="str">
        <f ca="1">IFERROR(__xludf.DUMMYFUNCTION("""COMPUTED_VALUE"""),"bagcharm huruf ")</f>
        <v xml:space="preserve">bagcharm huruf </v>
      </c>
      <c r="R40" s="7" t="str">
        <f ca="1">IFERROR(__xludf.DUMMYFUNCTION("""COMPUTED_VALUE"""),"Reccuring")</f>
        <v>Reccuring</v>
      </c>
      <c r="S40" s="7">
        <f ca="1">IFERROR(__xludf.DUMMYFUNCTION("""COMPUTED_VALUE"""),1)</f>
        <v>1</v>
      </c>
      <c r="T40" s="16" t="str">
        <f ca="1">IFERROR(__xludf.DUMMYFUNCTION("""COMPUTED_VALUE"""),"paket")</f>
        <v>paket</v>
      </c>
      <c r="U40" s="16">
        <f ca="1">IFERROR(__xludf.DUMMYFUNCTION("""COMPUTED_VALUE"""),700000)</f>
        <v>700000</v>
      </c>
      <c r="V40" s="16">
        <f ca="1">IFERROR(__xludf.DUMMYFUNCTION("""COMPUTED_VALUE"""),700000)</f>
        <v>700000</v>
      </c>
      <c r="W40" s="7" t="str">
        <f ca="1">IFERROR(__xludf.DUMMYFUNCTION("""COMPUTED_VALUE"""),"Nadeldza")</f>
        <v>Nadeldza</v>
      </c>
    </row>
    <row r="41" spans="1:23" ht="12.5" x14ac:dyDescent="0.25">
      <c r="A41" s="12" t="s">
        <v>144</v>
      </c>
      <c r="B41" s="12">
        <v>2</v>
      </c>
      <c r="C41" s="12" t="s">
        <v>51</v>
      </c>
      <c r="D41" s="21" t="s">
        <v>673</v>
      </c>
      <c r="E41" s="12" t="s">
        <v>22</v>
      </c>
      <c r="F41" s="12">
        <v>1</v>
      </c>
      <c r="G41" s="14" t="s">
        <v>81</v>
      </c>
      <c r="H41" s="15">
        <v>230000</v>
      </c>
      <c r="I41" s="15">
        <f t="shared" si="1"/>
        <v>230000</v>
      </c>
      <c r="J41" s="13" t="s">
        <v>674</v>
      </c>
      <c r="N41" s="7" t="str">
        <f ca="1">IFERROR(__xludf.DUMMYFUNCTION("""COMPUTED_VALUE"""),"41")</f>
        <v>41</v>
      </c>
      <c r="O41" s="7">
        <f ca="1">IFERROR(__xludf.DUMMYFUNCTION("""COMPUTED_VALUE"""),14)</f>
        <v>14</v>
      </c>
      <c r="P41" s="7" t="str">
        <f ca="1">IFERROR(__xludf.DUMMYFUNCTION("""COMPUTED_VALUE"""),"Stock Dagangan")</f>
        <v>Stock Dagangan</v>
      </c>
      <c r="Q41" s="7" t="str">
        <f ca="1">IFERROR(__xludf.DUMMYFUNCTION("""COMPUTED_VALUE"""),"Kawat Bulu ")</f>
        <v xml:space="preserve">Kawat Bulu </v>
      </c>
      <c r="R41" s="7" t="str">
        <f ca="1">IFERROR(__xludf.DUMMYFUNCTION("""COMPUTED_VALUE"""),"Reccuring")</f>
        <v>Reccuring</v>
      </c>
      <c r="S41" s="7">
        <f ca="1">IFERROR(__xludf.DUMMYFUNCTION("""COMPUTED_VALUE"""),1)</f>
        <v>1</v>
      </c>
      <c r="T41" s="16" t="str">
        <f ca="1">IFERROR(__xludf.DUMMYFUNCTION("""COMPUTED_VALUE"""),"paket")</f>
        <v>paket</v>
      </c>
      <c r="U41" s="16">
        <f ca="1">IFERROR(__xludf.DUMMYFUNCTION("""COMPUTED_VALUE"""),305000)</f>
        <v>305000</v>
      </c>
      <c r="V41" s="16">
        <f ca="1">IFERROR(__xludf.DUMMYFUNCTION("""COMPUTED_VALUE"""),305000)</f>
        <v>305000</v>
      </c>
      <c r="W41" s="7" t="str">
        <f ca="1">IFERROR(__xludf.DUMMYFUNCTION("""COMPUTED_VALUE"""),"Pernak Pernik Surabaya")</f>
        <v>Pernak Pernik Surabaya</v>
      </c>
    </row>
    <row r="42" spans="1:23" ht="12.5" x14ac:dyDescent="0.25">
      <c r="A42" s="12" t="s">
        <v>147</v>
      </c>
      <c r="B42" s="12">
        <v>3</v>
      </c>
      <c r="C42" s="12" t="s">
        <v>83</v>
      </c>
      <c r="D42" s="21" t="s">
        <v>675</v>
      </c>
      <c r="E42" s="12" t="s">
        <v>22</v>
      </c>
      <c r="F42" s="12">
        <v>1</v>
      </c>
      <c r="G42" s="14" t="s">
        <v>81</v>
      </c>
      <c r="H42" s="15">
        <v>145000</v>
      </c>
      <c r="I42" s="15">
        <f t="shared" si="1"/>
        <v>145000</v>
      </c>
      <c r="J42" s="13" t="s">
        <v>676</v>
      </c>
      <c r="N42" s="7" t="str">
        <f ca="1">IFERROR(__xludf.DUMMYFUNCTION("""COMPUTED_VALUE"""),"42")</f>
        <v>42</v>
      </c>
      <c r="O42" s="7">
        <f ca="1">IFERROR(__xludf.DUMMYFUNCTION("""COMPUTED_VALUE"""),14)</f>
        <v>14</v>
      </c>
      <c r="P42" s="7" t="str">
        <f ca="1">IFERROR(__xludf.DUMMYFUNCTION("""COMPUTED_VALUE"""),"Stock Dagangan")</f>
        <v>Stock Dagangan</v>
      </c>
      <c r="Q42" s="7" t="str">
        <f ca="1">IFERROR(__xludf.DUMMYFUNCTION("""COMPUTED_VALUE"""),"Ganci Strap ")</f>
        <v xml:space="preserve">Ganci Strap </v>
      </c>
      <c r="R42" s="7" t="str">
        <f ca="1">IFERROR(__xludf.DUMMYFUNCTION("""COMPUTED_VALUE"""),"Reccuring")</f>
        <v>Reccuring</v>
      </c>
      <c r="S42" s="7">
        <f ca="1">IFERROR(__xludf.DUMMYFUNCTION("""COMPUTED_VALUE"""),1)</f>
        <v>1</v>
      </c>
      <c r="T42" s="16" t="str">
        <f ca="1">IFERROR(__xludf.DUMMYFUNCTION("""COMPUTED_VALUE"""),"paket")</f>
        <v>paket</v>
      </c>
      <c r="U42" s="16">
        <f ca="1">IFERROR(__xludf.DUMMYFUNCTION("""COMPUTED_VALUE"""),215000)</f>
        <v>215000</v>
      </c>
      <c r="V42" s="16">
        <f ca="1">IFERROR(__xludf.DUMMYFUNCTION("""COMPUTED_VALUE"""),215000)</f>
        <v>215000</v>
      </c>
      <c r="W42" s="7" t="str">
        <f ca="1">IFERROR(__xludf.DUMMYFUNCTION("""COMPUTED_VALUE"""),"Misaki Official Indonesia ")</f>
        <v xml:space="preserve">Misaki Official Indonesia </v>
      </c>
    </row>
    <row r="43" spans="1:23" ht="12.5" x14ac:dyDescent="0.25">
      <c r="A43" s="12" t="s">
        <v>150</v>
      </c>
      <c r="B43" s="12">
        <v>4</v>
      </c>
      <c r="C43" s="12" t="s">
        <v>51</v>
      </c>
      <c r="D43" s="21" t="s">
        <v>678</v>
      </c>
      <c r="E43" s="12" t="s">
        <v>22</v>
      </c>
      <c r="F43" s="12">
        <v>1</v>
      </c>
      <c r="G43" s="14" t="s">
        <v>81</v>
      </c>
      <c r="H43" s="15">
        <v>95000</v>
      </c>
      <c r="I43" s="15">
        <f t="shared" si="1"/>
        <v>95000</v>
      </c>
      <c r="J43" s="13" t="s">
        <v>679</v>
      </c>
      <c r="N43" s="7" t="str">
        <f ca="1">IFERROR(__xludf.DUMMYFUNCTION("""COMPUTED_VALUE"""),"43")</f>
        <v>43</v>
      </c>
      <c r="O43" s="7">
        <f ca="1">IFERROR(__xludf.DUMMYFUNCTION("""COMPUTED_VALUE"""),15)</f>
        <v>15</v>
      </c>
      <c r="P43" s="7" t="str">
        <f ca="1">IFERROR(__xludf.DUMMYFUNCTION("""COMPUTED_VALUE"""),"Stock Dagangan")</f>
        <v>Stock Dagangan</v>
      </c>
      <c r="Q43" s="7" t="str">
        <f ca="1">IFERROR(__xludf.DUMMYFUNCTION("""COMPUTED_VALUE"""),"Cincin")</f>
        <v>Cincin</v>
      </c>
      <c r="R43" s="7" t="str">
        <f ca="1">IFERROR(__xludf.DUMMYFUNCTION("""COMPUTED_VALUE"""),"Reccuring")</f>
        <v>Reccuring</v>
      </c>
      <c r="S43" s="7">
        <f ca="1">IFERROR(__xludf.DUMMYFUNCTION("""COMPUTED_VALUE"""),1)</f>
        <v>1</v>
      </c>
      <c r="T43" s="16" t="str">
        <f ca="1">IFERROR(__xludf.DUMMYFUNCTION("""COMPUTED_VALUE"""),"paket")</f>
        <v>paket</v>
      </c>
      <c r="U43" s="16">
        <f ca="1">IFERROR(__xludf.DUMMYFUNCTION("""COMPUTED_VALUE"""),125000)</f>
        <v>125000</v>
      </c>
      <c r="V43" s="16">
        <f ca="1">IFERROR(__xludf.DUMMYFUNCTION("""COMPUTED_VALUE"""),125000)</f>
        <v>125000</v>
      </c>
      <c r="W43" s="7" t="str">
        <f ca="1">IFERROR(__xludf.DUMMYFUNCTION("""COMPUTED_VALUE"""),"Ohellow Studio")</f>
        <v>Ohellow Studio</v>
      </c>
    </row>
    <row r="44" spans="1:23" ht="12.5" x14ac:dyDescent="0.25">
      <c r="A44" s="12" t="s">
        <v>153</v>
      </c>
      <c r="B44" s="12">
        <v>6</v>
      </c>
      <c r="C44" s="12" t="s">
        <v>51</v>
      </c>
      <c r="D44" s="21" t="s">
        <v>669</v>
      </c>
      <c r="E44" s="12" t="s">
        <v>22</v>
      </c>
      <c r="F44" s="12">
        <v>1</v>
      </c>
      <c r="G44" s="14" t="s">
        <v>81</v>
      </c>
      <c r="H44" s="15">
        <v>145000</v>
      </c>
      <c r="I44" s="15">
        <f t="shared" si="1"/>
        <v>145000</v>
      </c>
      <c r="J44" s="13" t="s">
        <v>680</v>
      </c>
      <c r="N44" s="7" t="str">
        <f ca="1">IFERROR(__xludf.DUMMYFUNCTION("""COMPUTED_VALUE"""),"44")</f>
        <v>44</v>
      </c>
      <c r="O44" s="7">
        <f ca="1">IFERROR(__xludf.DUMMYFUNCTION("""COMPUTED_VALUE"""),16)</f>
        <v>16</v>
      </c>
      <c r="P44" s="7" t="str">
        <f ca="1">IFERROR(__xludf.DUMMYFUNCTION("""COMPUTED_VALUE"""),"Stock Dagangan")</f>
        <v>Stock Dagangan</v>
      </c>
      <c r="Q44" s="7" t="str">
        <f ca="1">IFERROR(__xludf.DUMMYFUNCTION("""COMPUTED_VALUE"""),"Kalung mata")</f>
        <v>Kalung mata</v>
      </c>
      <c r="R44" s="7" t="str">
        <f ca="1">IFERROR(__xludf.DUMMYFUNCTION("""COMPUTED_VALUE"""),"Reccuring")</f>
        <v>Reccuring</v>
      </c>
      <c r="S44" s="7">
        <f ca="1">IFERROR(__xludf.DUMMYFUNCTION("""COMPUTED_VALUE"""),1)</f>
        <v>1</v>
      </c>
      <c r="T44" s="16" t="str">
        <f ca="1">IFERROR(__xludf.DUMMYFUNCTION("""COMPUTED_VALUE"""),"paket")</f>
        <v>paket</v>
      </c>
      <c r="U44" s="16">
        <f ca="1">IFERROR(__xludf.DUMMYFUNCTION("""COMPUTED_VALUE"""),165000)</f>
        <v>165000</v>
      </c>
      <c r="V44" s="16">
        <f ca="1">IFERROR(__xludf.DUMMYFUNCTION("""COMPUTED_VALUE"""),165000)</f>
        <v>165000</v>
      </c>
      <c r="W44" s="7" t="str">
        <f ca="1">IFERROR(__xludf.DUMMYFUNCTION("""COMPUTED_VALUE"""),"Bocyn Bag")</f>
        <v>Bocyn Bag</v>
      </c>
    </row>
    <row r="45" spans="1:23" ht="12.5" x14ac:dyDescent="0.25">
      <c r="A45" s="12" t="s">
        <v>156</v>
      </c>
      <c r="B45" s="12">
        <v>8</v>
      </c>
      <c r="C45" s="12" t="s">
        <v>51</v>
      </c>
      <c r="D45" s="21" t="s">
        <v>681</v>
      </c>
      <c r="E45" s="12" t="s">
        <v>22</v>
      </c>
      <c r="F45" s="12">
        <v>1</v>
      </c>
      <c r="G45" s="14" t="s">
        <v>81</v>
      </c>
      <c r="H45" s="15">
        <v>250000</v>
      </c>
      <c r="I45" s="15">
        <f t="shared" si="1"/>
        <v>250000</v>
      </c>
      <c r="J45" s="13" t="s">
        <v>505</v>
      </c>
      <c r="N45" s="7" t="str">
        <f ca="1">IFERROR(__xludf.DUMMYFUNCTION("""COMPUTED_VALUE"""),"45")</f>
        <v>45</v>
      </c>
      <c r="O45" s="7">
        <f ca="1">IFERROR(__xludf.DUMMYFUNCTION("""COMPUTED_VALUE"""),16)</f>
        <v>16</v>
      </c>
      <c r="P45" s="7" t="str">
        <f ca="1">IFERROR(__xludf.DUMMYFUNCTION("""COMPUTED_VALUE"""),"Stock Dagangan")</f>
        <v>Stock Dagangan</v>
      </c>
      <c r="Q45" s="7" t="str">
        <f ca="1">IFERROR(__xludf.DUMMYFUNCTION("""COMPUTED_VALUE"""),"Gelang Kerang Manik ")</f>
        <v xml:space="preserve">Gelang Kerang Manik </v>
      </c>
      <c r="R45" s="7" t="str">
        <f ca="1">IFERROR(__xludf.DUMMYFUNCTION("""COMPUTED_VALUE"""),"Reccuring")</f>
        <v>Reccuring</v>
      </c>
      <c r="S45" s="7">
        <f ca="1">IFERROR(__xludf.DUMMYFUNCTION("""COMPUTED_VALUE"""),1)</f>
        <v>1</v>
      </c>
      <c r="T45" s="16" t="str">
        <f ca="1">IFERROR(__xludf.DUMMYFUNCTION("""COMPUTED_VALUE"""),"paket ")</f>
        <v xml:space="preserve">paket </v>
      </c>
      <c r="U45" s="16">
        <f ca="1">IFERROR(__xludf.DUMMYFUNCTION("""COMPUTED_VALUE"""),140000)</f>
        <v>140000</v>
      </c>
      <c r="V45" s="16">
        <f ca="1">IFERROR(__xludf.DUMMYFUNCTION("""COMPUTED_VALUE"""),140000)</f>
        <v>140000</v>
      </c>
      <c r="W45" s="7" t="str">
        <f ca="1">IFERROR(__xludf.DUMMYFUNCTION("""COMPUTED_VALUE"""),"Fairytale acc")</f>
        <v>Fairytale acc</v>
      </c>
    </row>
    <row r="46" spans="1:23" ht="12.5" x14ac:dyDescent="0.25">
      <c r="A46" s="12" t="s">
        <v>158</v>
      </c>
      <c r="B46" s="12">
        <v>10</v>
      </c>
      <c r="C46" s="12" t="s">
        <v>51</v>
      </c>
      <c r="D46" s="21" t="s">
        <v>460</v>
      </c>
      <c r="E46" s="12" t="s">
        <v>22</v>
      </c>
      <c r="F46" s="12">
        <v>1</v>
      </c>
      <c r="G46" s="14" t="s">
        <v>81</v>
      </c>
      <c r="H46" s="15">
        <v>505000</v>
      </c>
      <c r="I46" s="15">
        <f t="shared" si="1"/>
        <v>505000</v>
      </c>
      <c r="J46" s="13" t="s">
        <v>215</v>
      </c>
      <c r="N46" s="7" t="str">
        <f ca="1">IFERROR(__xludf.DUMMYFUNCTION("""COMPUTED_VALUE"""),"46")</f>
        <v>46</v>
      </c>
      <c r="O46" s="7">
        <f ca="1">IFERROR(__xludf.DUMMYFUNCTION("""COMPUTED_VALUE"""),17)</f>
        <v>17</v>
      </c>
      <c r="P46" s="7" t="str">
        <f ca="1">IFERROR(__xludf.DUMMYFUNCTION("""COMPUTED_VALUE"""),"Stock Dagangan")</f>
        <v>Stock Dagangan</v>
      </c>
      <c r="Q46" s="7" t="str">
        <f ca="1">IFERROR(__xludf.DUMMYFUNCTION("""COMPUTED_VALUE"""),"Botol Minum Plastik ")</f>
        <v xml:space="preserve">Botol Minum Plastik </v>
      </c>
      <c r="R46" s="7" t="str">
        <f ca="1">IFERROR(__xludf.DUMMYFUNCTION("""COMPUTED_VALUE"""),"Reccuring")</f>
        <v>Reccuring</v>
      </c>
      <c r="S46" s="7">
        <f ca="1">IFERROR(__xludf.DUMMYFUNCTION("""COMPUTED_VALUE"""),1)</f>
        <v>1</v>
      </c>
      <c r="T46" s="16" t="str">
        <f ca="1">IFERROR(__xludf.DUMMYFUNCTION("""COMPUTED_VALUE"""),"paket")</f>
        <v>paket</v>
      </c>
      <c r="U46" s="16">
        <f ca="1">IFERROR(__xludf.DUMMYFUNCTION("""COMPUTED_VALUE"""),100000)</f>
        <v>100000</v>
      </c>
      <c r="V46" s="16">
        <f ca="1">IFERROR(__xludf.DUMMYFUNCTION("""COMPUTED_VALUE"""),100000)</f>
        <v>100000</v>
      </c>
      <c r="W46" s="7" t="str">
        <f ca="1">IFERROR(__xludf.DUMMYFUNCTION("""COMPUTED_VALUE"""),"plannetventus ")</f>
        <v xml:space="preserve">plannetventus </v>
      </c>
    </row>
    <row r="47" spans="1:23" ht="12.5" x14ac:dyDescent="0.25">
      <c r="A47" s="12" t="s">
        <v>161</v>
      </c>
      <c r="B47" s="12">
        <v>11</v>
      </c>
      <c r="C47" s="12" t="s">
        <v>51</v>
      </c>
      <c r="D47" s="21" t="s">
        <v>682</v>
      </c>
      <c r="E47" s="12" t="s">
        <v>22</v>
      </c>
      <c r="F47" s="12">
        <v>1</v>
      </c>
      <c r="G47" s="14" t="s">
        <v>81</v>
      </c>
      <c r="H47" s="15">
        <v>275000</v>
      </c>
      <c r="I47" s="15">
        <f t="shared" si="1"/>
        <v>275000</v>
      </c>
      <c r="J47" s="13" t="s">
        <v>683</v>
      </c>
      <c r="N47" s="7" t="str">
        <f ca="1">IFERROR(__xludf.DUMMYFUNCTION("""COMPUTED_VALUE"""),"47")</f>
        <v>47</v>
      </c>
      <c r="O47" s="7">
        <f ca="1">IFERROR(__xludf.DUMMYFUNCTION("""COMPUTED_VALUE"""),17)</f>
        <v>17</v>
      </c>
      <c r="P47" s="7" t="str">
        <f ca="1">IFERROR(__xludf.DUMMYFUNCTION("""COMPUTED_VALUE"""),"Stock Dagangan")</f>
        <v>Stock Dagangan</v>
      </c>
      <c r="Q47" s="7" t="str">
        <f ca="1">IFERROR(__xludf.DUMMYFUNCTION("""COMPUTED_VALUE"""),"Jepit Kerang")</f>
        <v>Jepit Kerang</v>
      </c>
      <c r="R47" s="7" t="str">
        <f ca="1">IFERROR(__xludf.DUMMYFUNCTION("""COMPUTED_VALUE"""),"Reccuring")</f>
        <v>Reccuring</v>
      </c>
      <c r="S47" s="7">
        <f ca="1">IFERROR(__xludf.DUMMYFUNCTION("""COMPUTED_VALUE"""),1)</f>
        <v>1</v>
      </c>
      <c r="T47" s="16" t="str">
        <f ca="1">IFERROR(__xludf.DUMMYFUNCTION("""COMPUTED_VALUE"""),"paket")</f>
        <v>paket</v>
      </c>
      <c r="U47" s="16">
        <f ca="1">IFERROR(__xludf.DUMMYFUNCTION("""COMPUTED_VALUE"""),360000)</f>
        <v>360000</v>
      </c>
      <c r="V47" s="16">
        <f ca="1">IFERROR(__xludf.DUMMYFUNCTION("""COMPUTED_VALUE"""),360000)</f>
        <v>360000</v>
      </c>
      <c r="W47" s="7" t="str">
        <f ca="1">IFERROR(__xludf.DUMMYFUNCTION("""COMPUTED_VALUE"""),"Molfine Official Store")</f>
        <v>Molfine Official Store</v>
      </c>
    </row>
    <row r="48" spans="1:23" ht="12.5" x14ac:dyDescent="0.25">
      <c r="A48" s="12">
        <v>29</v>
      </c>
      <c r="B48" s="12">
        <v>12</v>
      </c>
      <c r="C48" s="12" t="s">
        <v>51</v>
      </c>
      <c r="D48" s="21" t="s">
        <v>684</v>
      </c>
      <c r="E48" s="12" t="s">
        <v>22</v>
      </c>
      <c r="F48" s="12">
        <v>1</v>
      </c>
      <c r="G48" s="14" t="s">
        <v>81</v>
      </c>
      <c r="H48" s="15">
        <v>85000</v>
      </c>
      <c r="I48" s="15">
        <f t="shared" si="1"/>
        <v>85000</v>
      </c>
      <c r="J48" s="13" t="s">
        <v>685</v>
      </c>
      <c r="N48" s="7" t="str">
        <f ca="1">IFERROR(__xludf.DUMMYFUNCTION("""COMPUTED_VALUE"""),"48")</f>
        <v>48</v>
      </c>
      <c r="O48" s="7">
        <f ca="1">IFERROR(__xludf.DUMMYFUNCTION("""COMPUTED_VALUE"""),17)</f>
        <v>17</v>
      </c>
      <c r="P48" s="7" t="str">
        <f ca="1">IFERROR(__xludf.DUMMYFUNCTION("""COMPUTED_VALUE"""),"Stock Dagangan")</f>
        <v>Stock Dagangan</v>
      </c>
      <c r="Q48" s="7" t="str">
        <f ca="1">IFERROR(__xludf.DUMMYFUNCTION("""COMPUTED_VALUE"""),"Ganci Tisu ")</f>
        <v xml:space="preserve">Ganci Tisu </v>
      </c>
      <c r="R48" s="7" t="str">
        <f ca="1">IFERROR(__xludf.DUMMYFUNCTION("""COMPUTED_VALUE"""),"Reccuring")</f>
        <v>Reccuring</v>
      </c>
      <c r="S48" s="7">
        <f ca="1">IFERROR(__xludf.DUMMYFUNCTION("""COMPUTED_VALUE"""),1)</f>
        <v>1</v>
      </c>
      <c r="T48" s="16" t="str">
        <f ca="1">IFERROR(__xludf.DUMMYFUNCTION("""COMPUTED_VALUE"""),"paket ")</f>
        <v xml:space="preserve">paket </v>
      </c>
      <c r="U48" s="16">
        <f ca="1">IFERROR(__xludf.DUMMYFUNCTION("""COMPUTED_VALUE"""),60000)</f>
        <v>60000</v>
      </c>
      <c r="V48" s="16">
        <f ca="1">IFERROR(__xludf.DUMMYFUNCTION("""COMPUTED_VALUE"""),60000)</f>
        <v>60000</v>
      </c>
      <c r="W48" s="7" t="str">
        <f ca="1">IFERROR(__xludf.DUMMYFUNCTION("""COMPUTED_VALUE"""),"Pet Treasure ")</f>
        <v xml:space="preserve">Pet Treasure </v>
      </c>
    </row>
    <row r="49" spans="1:23" ht="12.5" x14ac:dyDescent="0.25">
      <c r="A49" s="12" t="s">
        <v>166</v>
      </c>
      <c r="B49" s="12">
        <v>12</v>
      </c>
      <c r="C49" s="12" t="s">
        <v>51</v>
      </c>
      <c r="D49" s="21" t="s">
        <v>686</v>
      </c>
      <c r="E49" s="12" t="s">
        <v>22</v>
      </c>
      <c r="F49" s="12">
        <v>1</v>
      </c>
      <c r="G49" s="14" t="s">
        <v>81</v>
      </c>
      <c r="H49" s="15">
        <v>355000</v>
      </c>
      <c r="I49" s="15">
        <f t="shared" si="1"/>
        <v>355000</v>
      </c>
      <c r="J49" s="13" t="s">
        <v>687</v>
      </c>
      <c r="N49" s="7" t="str">
        <f ca="1">IFERROR(__xludf.DUMMYFUNCTION("""COMPUTED_VALUE"""),"49")</f>
        <v>49</v>
      </c>
      <c r="O49" s="7">
        <f ca="1">IFERROR(__xludf.DUMMYFUNCTION("""COMPUTED_VALUE"""),17)</f>
        <v>17</v>
      </c>
      <c r="P49" s="7" t="str">
        <f ca="1">IFERROR(__xludf.DUMMYFUNCTION("""COMPUTED_VALUE"""),"Stock Dagangan")</f>
        <v>Stock Dagangan</v>
      </c>
      <c r="Q49" s="7" t="str">
        <f ca="1">IFERROR(__xludf.DUMMYFUNCTION("""COMPUTED_VALUE"""),"Kacamata")</f>
        <v>Kacamata</v>
      </c>
      <c r="R49" s="7" t="str">
        <f ca="1">IFERROR(__xludf.DUMMYFUNCTION("""COMPUTED_VALUE"""),"Reccuring")</f>
        <v>Reccuring</v>
      </c>
      <c r="S49" s="7">
        <f ca="1">IFERROR(__xludf.DUMMYFUNCTION("""COMPUTED_VALUE"""),1)</f>
        <v>1</v>
      </c>
      <c r="T49" s="16" t="str">
        <f ca="1">IFERROR(__xludf.DUMMYFUNCTION("""COMPUTED_VALUE"""),"paket")</f>
        <v>paket</v>
      </c>
      <c r="U49" s="16">
        <f ca="1">IFERROR(__xludf.DUMMYFUNCTION("""COMPUTED_VALUE"""),150000)</f>
        <v>150000</v>
      </c>
      <c r="V49" s="16">
        <f ca="1">IFERROR(__xludf.DUMMYFUNCTION("""COMPUTED_VALUE"""),150000)</f>
        <v>150000</v>
      </c>
      <c r="W49" s="7" t="str">
        <f ca="1">IFERROR(__xludf.DUMMYFUNCTION("""COMPUTED_VALUE"""),"Cute Baby House ")</f>
        <v xml:space="preserve">Cute Baby House </v>
      </c>
    </row>
    <row r="50" spans="1:23" ht="12.5" x14ac:dyDescent="0.25">
      <c r="A50" s="12" t="s">
        <v>169</v>
      </c>
      <c r="B50" s="12">
        <v>13</v>
      </c>
      <c r="C50" s="12" t="s">
        <v>51</v>
      </c>
      <c r="D50" s="21" t="s">
        <v>688</v>
      </c>
      <c r="E50" s="12" t="s">
        <v>22</v>
      </c>
      <c r="F50" s="12">
        <v>1</v>
      </c>
      <c r="G50" s="14" t="s">
        <v>81</v>
      </c>
      <c r="H50" s="15">
        <v>140000</v>
      </c>
      <c r="I50" s="15">
        <f t="shared" si="1"/>
        <v>140000</v>
      </c>
      <c r="J50" s="13" t="s">
        <v>689</v>
      </c>
      <c r="N50" s="7" t="str">
        <f ca="1">IFERROR(__xludf.DUMMYFUNCTION("""COMPUTED_VALUE"""),"50")</f>
        <v>50</v>
      </c>
      <c r="O50" s="7">
        <f ca="1">IFERROR(__xludf.DUMMYFUNCTION("""COMPUTED_VALUE"""),17)</f>
        <v>17</v>
      </c>
      <c r="P50" s="7" t="str">
        <f ca="1">IFERROR(__xludf.DUMMYFUNCTION("""COMPUTED_VALUE"""),"Stock Dagangan")</f>
        <v>Stock Dagangan</v>
      </c>
      <c r="Q50" s="7" t="str">
        <f ca="1">IFERROR(__xludf.DUMMYFUNCTION("""COMPUTED_VALUE"""),"Clay")</f>
        <v>Clay</v>
      </c>
      <c r="R50" s="7" t="str">
        <f ca="1">IFERROR(__xludf.DUMMYFUNCTION("""COMPUTED_VALUE"""),"Reccuring")</f>
        <v>Reccuring</v>
      </c>
      <c r="S50" s="7">
        <f ca="1">IFERROR(__xludf.DUMMYFUNCTION("""COMPUTED_VALUE"""),1)</f>
        <v>1</v>
      </c>
      <c r="T50" s="16" t="str">
        <f ca="1">IFERROR(__xludf.DUMMYFUNCTION("""COMPUTED_VALUE"""),"paket")</f>
        <v>paket</v>
      </c>
      <c r="U50" s="16">
        <f ca="1">IFERROR(__xludf.DUMMYFUNCTION("""COMPUTED_VALUE"""),55000)</f>
        <v>55000</v>
      </c>
      <c r="V50" s="16">
        <f ca="1">IFERROR(__xludf.DUMMYFUNCTION("""COMPUTED_VALUE"""),55000)</f>
        <v>55000</v>
      </c>
      <c r="W50" s="7" t="str">
        <f ca="1">IFERROR(__xludf.DUMMYFUNCTION("""COMPUTED_VALUE"""),"Maciko idn")</f>
        <v>Maciko idn</v>
      </c>
    </row>
    <row r="51" spans="1:23" ht="12.5" x14ac:dyDescent="0.25">
      <c r="A51" s="12" t="s">
        <v>171</v>
      </c>
      <c r="B51" s="12">
        <v>13</v>
      </c>
      <c r="C51" s="12" t="s">
        <v>51</v>
      </c>
      <c r="D51" s="21" t="s">
        <v>690</v>
      </c>
      <c r="E51" s="12" t="s">
        <v>22</v>
      </c>
      <c r="F51" s="12">
        <v>1</v>
      </c>
      <c r="G51" s="14" t="s">
        <v>81</v>
      </c>
      <c r="H51" s="15">
        <v>160000</v>
      </c>
      <c r="I51" s="15">
        <f t="shared" si="1"/>
        <v>160000</v>
      </c>
      <c r="J51" s="13" t="s">
        <v>691</v>
      </c>
      <c r="N51" s="7" t="str">
        <f ca="1">IFERROR(__xludf.DUMMYFUNCTION("""COMPUTED_VALUE"""),"52")</f>
        <v>52</v>
      </c>
      <c r="O51" s="7">
        <f ca="1">IFERROR(__xludf.DUMMYFUNCTION("""COMPUTED_VALUE"""),18)</f>
        <v>18</v>
      </c>
      <c r="P51" s="7" t="str">
        <f ca="1">IFERROR(__xludf.DUMMYFUNCTION("""COMPUTED_VALUE"""),"Stock Dagangan")</f>
        <v>Stock Dagangan</v>
      </c>
      <c r="Q51" s="7" t="str">
        <f ca="1">IFERROR(__xludf.DUMMYFUNCTION("""COMPUTED_VALUE"""),"Roll Rambut")</f>
        <v>Roll Rambut</v>
      </c>
      <c r="R51" s="7" t="str">
        <f ca="1">IFERROR(__xludf.DUMMYFUNCTION("""COMPUTED_VALUE"""),"Reccuring")</f>
        <v>Reccuring</v>
      </c>
      <c r="S51" s="7">
        <f ca="1">IFERROR(__xludf.DUMMYFUNCTION("""COMPUTED_VALUE"""),1)</f>
        <v>1</v>
      </c>
      <c r="T51" s="16" t="str">
        <f ca="1">IFERROR(__xludf.DUMMYFUNCTION("""COMPUTED_VALUE"""),"paket")</f>
        <v>paket</v>
      </c>
      <c r="U51" s="16">
        <f ca="1">IFERROR(__xludf.DUMMYFUNCTION("""COMPUTED_VALUE"""),410000)</f>
        <v>410000</v>
      </c>
      <c r="V51" s="16">
        <f ca="1">IFERROR(__xludf.DUMMYFUNCTION("""COMPUTED_VALUE"""),410000)</f>
        <v>410000</v>
      </c>
      <c r="W51" s="7" t="str">
        <f ca="1">IFERROR(__xludf.DUMMYFUNCTION("""COMPUTED_VALUE"""),"Grosir Official Shop")</f>
        <v>Grosir Official Shop</v>
      </c>
    </row>
    <row r="52" spans="1:23" ht="12.5" x14ac:dyDescent="0.25">
      <c r="A52" s="12" t="s">
        <v>172</v>
      </c>
      <c r="B52" s="12">
        <v>13</v>
      </c>
      <c r="C52" s="12" t="s">
        <v>51</v>
      </c>
      <c r="D52" s="21" t="s">
        <v>692</v>
      </c>
      <c r="E52" s="12" t="s">
        <v>22</v>
      </c>
      <c r="F52" s="12">
        <v>1</v>
      </c>
      <c r="G52" s="14" t="s">
        <v>81</v>
      </c>
      <c r="H52" s="15">
        <v>120000</v>
      </c>
      <c r="I52" s="15">
        <f t="shared" si="1"/>
        <v>120000</v>
      </c>
      <c r="J52" s="13" t="s">
        <v>93</v>
      </c>
      <c r="N52" s="7" t="str">
        <f ca="1">IFERROR(__xludf.DUMMYFUNCTION("""COMPUTED_VALUE"""),"54")</f>
        <v>54</v>
      </c>
      <c r="O52" s="7">
        <f ca="1">IFERROR(__xludf.DUMMYFUNCTION("""COMPUTED_VALUE"""),19)</f>
        <v>19</v>
      </c>
      <c r="P52" s="7" t="str">
        <f ca="1">IFERROR(__xludf.DUMMYFUNCTION("""COMPUTED_VALUE"""),"Stock Dagangan")</f>
        <v>Stock Dagangan</v>
      </c>
      <c r="Q52" s="7" t="str">
        <f ca="1">IFERROR(__xludf.DUMMYFUNCTION("""COMPUTED_VALUE"""),"Dompet mini")</f>
        <v>Dompet mini</v>
      </c>
      <c r="R52" s="7" t="str">
        <f ca="1">IFERROR(__xludf.DUMMYFUNCTION("""COMPUTED_VALUE"""),"Reccuring")</f>
        <v>Reccuring</v>
      </c>
      <c r="S52" s="7">
        <f ca="1">IFERROR(__xludf.DUMMYFUNCTION("""COMPUTED_VALUE"""),1)</f>
        <v>1</v>
      </c>
      <c r="T52" s="16" t="str">
        <f ca="1">IFERROR(__xludf.DUMMYFUNCTION("""COMPUTED_VALUE"""),"paket")</f>
        <v>paket</v>
      </c>
      <c r="U52" s="16">
        <f ca="1">IFERROR(__xludf.DUMMYFUNCTION("""COMPUTED_VALUE"""),115000)</f>
        <v>115000</v>
      </c>
      <c r="V52" s="16">
        <f ca="1">IFERROR(__xludf.DUMMYFUNCTION("""COMPUTED_VALUE"""),115000)</f>
        <v>115000</v>
      </c>
      <c r="W52" s="7" t="str">
        <f ca="1">IFERROR(__xludf.DUMMYFUNCTION("""COMPUTED_VALUE"""),"Smile Goddess")</f>
        <v>Smile Goddess</v>
      </c>
    </row>
    <row r="53" spans="1:23" ht="12.5" x14ac:dyDescent="0.25">
      <c r="A53" s="12" t="s">
        <v>175</v>
      </c>
      <c r="B53" s="12">
        <v>13</v>
      </c>
      <c r="C53" s="12" t="s">
        <v>51</v>
      </c>
      <c r="D53" s="21" t="s">
        <v>693</v>
      </c>
      <c r="E53" s="12" t="s">
        <v>22</v>
      </c>
      <c r="F53" s="12">
        <v>1</v>
      </c>
      <c r="G53" s="14" t="s">
        <v>81</v>
      </c>
      <c r="H53" s="15">
        <v>100000</v>
      </c>
      <c r="I53" s="15">
        <f t="shared" si="1"/>
        <v>100000</v>
      </c>
      <c r="J53" s="13" t="s">
        <v>694</v>
      </c>
      <c r="N53" s="7" t="str">
        <f ca="1">IFERROR(__xludf.DUMMYFUNCTION("""COMPUTED_VALUE"""),"55")</f>
        <v>55</v>
      </c>
      <c r="O53" s="7">
        <f ca="1">IFERROR(__xludf.DUMMYFUNCTION("""COMPUTED_VALUE"""),19)</f>
        <v>19</v>
      </c>
      <c r="P53" s="7" t="str">
        <f ca="1">IFERROR(__xludf.DUMMYFUNCTION("""COMPUTED_VALUE"""),"Stock Dagangan")</f>
        <v>Stock Dagangan</v>
      </c>
      <c r="Q53" s="7" t="str">
        <f ca="1">IFERROR(__xludf.DUMMYFUNCTION("""COMPUTED_VALUE"""),"Jepit bebek dll")</f>
        <v>Jepit bebek dll</v>
      </c>
      <c r="R53" s="7" t="str">
        <f ca="1">IFERROR(__xludf.DUMMYFUNCTION("""COMPUTED_VALUE"""),"Reccuring")</f>
        <v>Reccuring</v>
      </c>
      <c r="S53" s="7">
        <f ca="1">IFERROR(__xludf.DUMMYFUNCTION("""COMPUTED_VALUE"""),1)</f>
        <v>1</v>
      </c>
      <c r="T53" s="16" t="str">
        <f ca="1">IFERROR(__xludf.DUMMYFUNCTION("""COMPUTED_VALUE"""),"paket")</f>
        <v>paket</v>
      </c>
      <c r="U53" s="16">
        <f ca="1">IFERROR(__xludf.DUMMYFUNCTION("""COMPUTED_VALUE"""),355000)</f>
        <v>355000</v>
      </c>
      <c r="V53" s="16">
        <f ca="1">IFERROR(__xludf.DUMMYFUNCTION("""COMPUTED_VALUE"""),355000)</f>
        <v>355000</v>
      </c>
      <c r="W53" s="7" t="str">
        <f ca="1">IFERROR(__xludf.DUMMYFUNCTION("""COMPUTED_VALUE"""),"Oura Accesories ")</f>
        <v xml:space="preserve">Oura Accesories </v>
      </c>
    </row>
    <row r="54" spans="1:23" ht="12.5" x14ac:dyDescent="0.25">
      <c r="A54" s="12" t="s">
        <v>178</v>
      </c>
      <c r="B54" s="12">
        <v>13</v>
      </c>
      <c r="C54" s="12" t="s">
        <v>51</v>
      </c>
      <c r="D54" s="21" t="s">
        <v>695</v>
      </c>
      <c r="E54" s="12" t="s">
        <v>22</v>
      </c>
      <c r="F54" s="12">
        <v>1</v>
      </c>
      <c r="G54" s="14" t="s">
        <v>81</v>
      </c>
      <c r="H54" s="15">
        <v>80000</v>
      </c>
      <c r="I54" s="15">
        <f t="shared" si="1"/>
        <v>80000</v>
      </c>
      <c r="J54" s="13" t="s">
        <v>696</v>
      </c>
      <c r="N54" s="7" t="str">
        <f ca="1">IFERROR(__xludf.DUMMYFUNCTION("""COMPUTED_VALUE"""),"56")</f>
        <v>56</v>
      </c>
      <c r="O54" s="7">
        <f ca="1">IFERROR(__xludf.DUMMYFUNCTION("""COMPUTED_VALUE"""),19)</f>
        <v>19</v>
      </c>
      <c r="P54" s="7" t="str">
        <f ca="1">IFERROR(__xludf.DUMMYFUNCTION("""COMPUTED_VALUE"""),"Stock Dagangan")</f>
        <v>Stock Dagangan</v>
      </c>
      <c r="Q54" s="7" t="str">
        <f ca="1">IFERROR(__xludf.DUMMYFUNCTION("""COMPUTED_VALUE"""),"Jepit Poni anti lepek")</f>
        <v>Jepit Poni anti lepek</v>
      </c>
      <c r="R54" s="7" t="str">
        <f ca="1">IFERROR(__xludf.DUMMYFUNCTION("""COMPUTED_VALUE"""),"Reccuring")</f>
        <v>Reccuring</v>
      </c>
      <c r="S54" s="7">
        <f ca="1">IFERROR(__xludf.DUMMYFUNCTION("""COMPUTED_VALUE"""),1)</f>
        <v>1</v>
      </c>
      <c r="T54" s="16" t="str">
        <f ca="1">IFERROR(__xludf.DUMMYFUNCTION("""COMPUTED_VALUE"""),"paket")</f>
        <v>paket</v>
      </c>
      <c r="U54" s="16">
        <f ca="1">IFERROR(__xludf.DUMMYFUNCTION("""COMPUTED_VALUE"""),50000)</f>
        <v>50000</v>
      </c>
      <c r="V54" s="16">
        <f ca="1">IFERROR(__xludf.DUMMYFUNCTION("""COMPUTED_VALUE"""),50000)</f>
        <v>50000</v>
      </c>
      <c r="W54" s="7" t="str">
        <f ca="1">IFERROR(__xludf.DUMMYFUNCTION("""COMPUTED_VALUE"""),"Popa Pack")</f>
        <v>Popa Pack</v>
      </c>
    </row>
    <row r="55" spans="1:23" ht="12.5" x14ac:dyDescent="0.25">
      <c r="A55" s="12" t="s">
        <v>181</v>
      </c>
      <c r="B55" s="12">
        <v>13</v>
      </c>
      <c r="C55" s="12" t="s">
        <v>51</v>
      </c>
      <c r="D55" s="21" t="s">
        <v>697</v>
      </c>
      <c r="E55" s="12" t="s">
        <v>22</v>
      </c>
      <c r="F55" s="12">
        <v>1</v>
      </c>
      <c r="G55" s="14" t="s">
        <v>81</v>
      </c>
      <c r="H55" s="15">
        <v>105000</v>
      </c>
      <c r="I55" s="15">
        <f t="shared" si="1"/>
        <v>105000</v>
      </c>
      <c r="J55" s="13" t="s">
        <v>698</v>
      </c>
      <c r="N55" s="7" t="str">
        <f ca="1">IFERROR(__xludf.DUMMYFUNCTION("""COMPUTED_VALUE"""),"57")</f>
        <v>57</v>
      </c>
      <c r="O55" s="7">
        <f ca="1">IFERROR(__xludf.DUMMYFUNCTION("""COMPUTED_VALUE"""),21)</f>
        <v>21</v>
      </c>
      <c r="P55" s="7" t="str">
        <f ca="1">IFERROR(__xludf.DUMMYFUNCTION("""COMPUTED_VALUE"""),"Stock Dagangan")</f>
        <v>Stock Dagangan</v>
      </c>
      <c r="Q55" s="7" t="str">
        <f ca="1">IFERROR(__xludf.DUMMYFUNCTION("""COMPUTED_VALUE"""),"kalung panjang")</f>
        <v>kalung panjang</v>
      </c>
      <c r="R55" s="7" t="str">
        <f ca="1">IFERROR(__xludf.DUMMYFUNCTION("""COMPUTED_VALUE"""),"Reccuring")</f>
        <v>Reccuring</v>
      </c>
      <c r="S55" s="7">
        <f ca="1">IFERROR(__xludf.DUMMYFUNCTION("""COMPUTED_VALUE"""),1)</f>
        <v>1</v>
      </c>
      <c r="T55" s="16" t="str">
        <f ca="1">IFERROR(__xludf.DUMMYFUNCTION("""COMPUTED_VALUE"""),"paket")</f>
        <v>paket</v>
      </c>
      <c r="U55" s="16">
        <f ca="1">IFERROR(__xludf.DUMMYFUNCTION("""COMPUTED_VALUE"""),100000)</f>
        <v>100000</v>
      </c>
      <c r="V55" s="16">
        <f ca="1">IFERROR(__xludf.DUMMYFUNCTION("""COMPUTED_VALUE"""),100000)</f>
        <v>100000</v>
      </c>
      <c r="W55" s="7" t="str">
        <f ca="1">IFERROR(__xludf.DUMMYFUNCTION("""COMPUTED_VALUE"""),"puer acc")</f>
        <v>puer acc</v>
      </c>
    </row>
    <row r="56" spans="1:23" ht="12.5" x14ac:dyDescent="0.25">
      <c r="A56" s="12" t="s">
        <v>183</v>
      </c>
      <c r="B56" s="12">
        <v>13</v>
      </c>
      <c r="C56" s="12" t="s">
        <v>73</v>
      </c>
      <c r="D56" s="21" t="s">
        <v>699</v>
      </c>
      <c r="E56" s="12" t="s">
        <v>22</v>
      </c>
      <c r="F56" s="12">
        <v>1</v>
      </c>
      <c r="G56" s="14" t="s">
        <v>81</v>
      </c>
      <c r="H56" s="15">
        <v>40000</v>
      </c>
      <c r="I56" s="15">
        <f t="shared" si="1"/>
        <v>40000</v>
      </c>
      <c r="J56" s="13" t="s">
        <v>700</v>
      </c>
      <c r="N56" s="7" t="str">
        <f ca="1">IFERROR(__xludf.DUMMYFUNCTION("""COMPUTED_VALUE"""),"59")</f>
        <v>59</v>
      </c>
      <c r="O56" s="7">
        <f ca="1">IFERROR(__xludf.DUMMYFUNCTION("""COMPUTED_VALUE"""),24)</f>
        <v>24</v>
      </c>
      <c r="P56" s="7" t="str">
        <f ca="1">IFERROR(__xludf.DUMMYFUNCTION("""COMPUTED_VALUE"""),"Stock Dagangan")</f>
        <v>Stock Dagangan</v>
      </c>
      <c r="Q56" s="7" t="str">
        <f ca="1">IFERROR(__xludf.DUMMYFUNCTION("""COMPUTED_VALUE"""),"Gelang Kerang Manik ")</f>
        <v xml:space="preserve">Gelang Kerang Manik </v>
      </c>
      <c r="R56" s="7" t="str">
        <f ca="1">IFERROR(__xludf.DUMMYFUNCTION("""COMPUTED_VALUE"""),"Reccuring")</f>
        <v>Reccuring</v>
      </c>
      <c r="S56" s="7">
        <f ca="1">IFERROR(__xludf.DUMMYFUNCTION("""COMPUTED_VALUE"""),1)</f>
        <v>1</v>
      </c>
      <c r="T56" s="16" t="str">
        <f ca="1">IFERROR(__xludf.DUMMYFUNCTION("""COMPUTED_VALUE"""),"paket")</f>
        <v>paket</v>
      </c>
      <c r="U56" s="16">
        <f ca="1">IFERROR(__xludf.DUMMYFUNCTION("""COMPUTED_VALUE"""),105000)</f>
        <v>105000</v>
      </c>
      <c r="V56" s="16">
        <f ca="1">IFERROR(__xludf.DUMMYFUNCTION("""COMPUTED_VALUE"""),105000)</f>
        <v>105000</v>
      </c>
      <c r="W56" s="7" t="str">
        <f ca="1">IFERROR(__xludf.DUMMYFUNCTION("""COMPUTED_VALUE"""),"Fairytale acc")</f>
        <v>Fairytale acc</v>
      </c>
    </row>
    <row r="57" spans="1:23" ht="12.5" x14ac:dyDescent="0.25">
      <c r="A57" s="12" t="s">
        <v>186</v>
      </c>
      <c r="B57" s="12">
        <v>14</v>
      </c>
      <c r="C57" s="12" t="s">
        <v>51</v>
      </c>
      <c r="D57" s="21" t="s">
        <v>701</v>
      </c>
      <c r="E57" s="12" t="s">
        <v>22</v>
      </c>
      <c r="F57" s="12">
        <v>1</v>
      </c>
      <c r="G57" s="14" t="s">
        <v>81</v>
      </c>
      <c r="H57" s="15">
        <v>205000</v>
      </c>
      <c r="I57" s="15">
        <f t="shared" si="1"/>
        <v>205000</v>
      </c>
      <c r="J57" s="13" t="s">
        <v>702</v>
      </c>
      <c r="N57" s="7" t="str">
        <f ca="1">IFERROR(__xludf.DUMMYFUNCTION("""COMPUTED_VALUE"""),"61")</f>
        <v>61</v>
      </c>
      <c r="O57" s="7">
        <f ca="1">IFERROR(__xludf.DUMMYFUNCTION("""COMPUTED_VALUE"""),29)</f>
        <v>29</v>
      </c>
      <c r="P57" s="7" t="str">
        <f ca="1">IFERROR(__xludf.DUMMYFUNCTION("""COMPUTED_VALUE"""),"Stock Dagangan")</f>
        <v>Stock Dagangan</v>
      </c>
      <c r="Q57" s="7" t="str">
        <f ca="1">IFERROR(__xludf.DUMMYFUNCTION("""COMPUTED_VALUE"""),"Ganci bunga daisy ")</f>
        <v xml:space="preserve">Ganci bunga daisy </v>
      </c>
      <c r="R57" s="7" t="str">
        <f ca="1">IFERROR(__xludf.DUMMYFUNCTION("""COMPUTED_VALUE"""),"Reccuring")</f>
        <v>Reccuring</v>
      </c>
      <c r="S57" s="7">
        <f ca="1">IFERROR(__xludf.DUMMYFUNCTION("""COMPUTED_VALUE"""),1)</f>
        <v>1</v>
      </c>
      <c r="T57" s="16" t="str">
        <f ca="1">IFERROR(__xludf.DUMMYFUNCTION("""COMPUTED_VALUE"""),"paket")</f>
        <v>paket</v>
      </c>
      <c r="U57" s="16">
        <f ca="1">IFERROR(__xludf.DUMMYFUNCTION("""COMPUTED_VALUE"""),340000)</f>
        <v>340000</v>
      </c>
      <c r="V57" s="16">
        <f ca="1">IFERROR(__xludf.DUMMYFUNCTION("""COMPUTED_VALUE"""),340000)</f>
        <v>340000</v>
      </c>
      <c r="W57" s="7" t="str">
        <f ca="1">IFERROR(__xludf.DUMMYFUNCTION("""COMPUTED_VALUE"""),"bahan craft murah blitar")</f>
        <v>bahan craft murah blitar</v>
      </c>
    </row>
    <row r="58" spans="1:23" ht="12.5" x14ac:dyDescent="0.25">
      <c r="A58" s="12" t="s">
        <v>189</v>
      </c>
      <c r="B58" s="12">
        <v>14</v>
      </c>
      <c r="C58" s="12" t="s">
        <v>51</v>
      </c>
      <c r="D58" s="21" t="s">
        <v>88</v>
      </c>
      <c r="E58" s="12" t="s">
        <v>22</v>
      </c>
      <c r="F58" s="12">
        <v>1</v>
      </c>
      <c r="G58" s="14" t="s">
        <v>703</v>
      </c>
      <c r="H58" s="15">
        <v>215000</v>
      </c>
      <c r="I58" s="15">
        <f t="shared" si="1"/>
        <v>215000</v>
      </c>
      <c r="J58" s="13" t="s">
        <v>134</v>
      </c>
      <c r="N58" s="7" t="str">
        <f ca="1">IFERROR(__xludf.DUMMYFUNCTION("""COMPUTED_VALUE"""),"64")</f>
        <v>64</v>
      </c>
      <c r="O58" s="7">
        <f ca="1">IFERROR(__xludf.DUMMYFUNCTION("""COMPUTED_VALUE"""),30)</f>
        <v>30</v>
      </c>
      <c r="P58" s="7" t="str">
        <f ca="1">IFERROR(__xludf.DUMMYFUNCTION("""COMPUTED_VALUE"""),"Stock Dagangan")</f>
        <v>Stock Dagangan</v>
      </c>
      <c r="Q58" s="7" t="str">
        <f ca="1">IFERROR(__xludf.DUMMYFUNCTION("""COMPUTED_VALUE"""),"Days Parfum")</f>
        <v>Days Parfum</v>
      </c>
      <c r="R58" s="7" t="str">
        <f ca="1">IFERROR(__xludf.DUMMYFUNCTION("""COMPUTED_VALUE"""),"Reccuring")</f>
        <v>Reccuring</v>
      </c>
      <c r="S58" s="7">
        <f ca="1">IFERROR(__xludf.DUMMYFUNCTION("""COMPUTED_VALUE"""),4)</f>
        <v>4</v>
      </c>
      <c r="T58" s="16" t="str">
        <f ca="1">IFERROR(__xludf.DUMMYFUNCTION("""COMPUTED_VALUE"""),"pack")</f>
        <v>pack</v>
      </c>
      <c r="U58" s="16">
        <f ca="1">IFERROR(__xludf.DUMMYFUNCTION("""COMPUTED_VALUE"""),43000)</f>
        <v>43000</v>
      </c>
      <c r="V58" s="16">
        <f ca="1">IFERROR(__xludf.DUMMYFUNCTION("""COMPUTED_VALUE"""),172000)</f>
        <v>172000</v>
      </c>
      <c r="W58" s="7" t="str">
        <f ca="1">IFERROR(__xludf.DUMMYFUNCTION("""COMPUTED_VALUE"""),"Days Parfum")</f>
        <v>Days Parfum</v>
      </c>
    </row>
    <row r="59" spans="1:23" ht="12.5" x14ac:dyDescent="0.25">
      <c r="A59" s="12" t="s">
        <v>191</v>
      </c>
      <c r="B59" s="12">
        <v>14</v>
      </c>
      <c r="C59" s="12" t="s">
        <v>51</v>
      </c>
      <c r="D59" s="21" t="s">
        <v>673</v>
      </c>
      <c r="E59" s="12" t="s">
        <v>22</v>
      </c>
      <c r="F59" s="12">
        <v>1</v>
      </c>
      <c r="G59" s="14" t="s">
        <v>81</v>
      </c>
      <c r="H59" s="15">
        <v>700000</v>
      </c>
      <c r="I59" s="15">
        <f t="shared" si="1"/>
        <v>700000</v>
      </c>
      <c r="J59" s="13" t="s">
        <v>433</v>
      </c>
    </row>
    <row r="60" spans="1:23" ht="12.5" x14ac:dyDescent="0.25">
      <c r="A60" s="12" t="s">
        <v>194</v>
      </c>
      <c r="B60" s="12">
        <v>14</v>
      </c>
      <c r="C60" s="12" t="s">
        <v>51</v>
      </c>
      <c r="D60" s="21" t="s">
        <v>704</v>
      </c>
      <c r="E60" s="12" t="s">
        <v>22</v>
      </c>
      <c r="F60" s="12">
        <v>1</v>
      </c>
      <c r="G60" s="14" t="s">
        <v>81</v>
      </c>
      <c r="H60" s="15">
        <v>305000</v>
      </c>
      <c r="I60" s="15">
        <f t="shared" si="1"/>
        <v>305000</v>
      </c>
      <c r="J60" s="13" t="s">
        <v>705</v>
      </c>
    </row>
    <row r="61" spans="1:23" ht="12.5" x14ac:dyDescent="0.25">
      <c r="A61" s="12" t="s">
        <v>197</v>
      </c>
      <c r="B61" s="12">
        <v>14</v>
      </c>
      <c r="C61" s="12" t="s">
        <v>51</v>
      </c>
      <c r="D61" s="21" t="s">
        <v>706</v>
      </c>
      <c r="E61" s="12" t="s">
        <v>22</v>
      </c>
      <c r="F61" s="12">
        <v>1</v>
      </c>
      <c r="G61" s="14" t="s">
        <v>81</v>
      </c>
      <c r="H61" s="15">
        <v>215000</v>
      </c>
      <c r="I61" s="15">
        <f t="shared" si="1"/>
        <v>215000</v>
      </c>
      <c r="J61" s="13" t="s">
        <v>577</v>
      </c>
    </row>
    <row r="62" spans="1:23" ht="12.5" x14ac:dyDescent="0.25">
      <c r="A62" s="12" t="s">
        <v>199</v>
      </c>
      <c r="B62" s="12">
        <v>15</v>
      </c>
      <c r="C62" s="12" t="s">
        <v>51</v>
      </c>
      <c r="D62" s="21" t="s">
        <v>707</v>
      </c>
      <c r="E62" s="12" t="s">
        <v>22</v>
      </c>
      <c r="F62" s="12">
        <v>1</v>
      </c>
      <c r="G62" s="14" t="s">
        <v>81</v>
      </c>
      <c r="H62" s="15">
        <v>125000</v>
      </c>
      <c r="I62" s="15">
        <f t="shared" si="1"/>
        <v>125000</v>
      </c>
      <c r="J62" s="13" t="s">
        <v>515</v>
      </c>
    </row>
    <row r="63" spans="1:23" ht="12.5" x14ac:dyDescent="0.25">
      <c r="A63" s="12" t="s">
        <v>202</v>
      </c>
      <c r="B63" s="12">
        <v>16</v>
      </c>
      <c r="C63" s="12" t="s">
        <v>51</v>
      </c>
      <c r="D63" s="21" t="s">
        <v>708</v>
      </c>
      <c r="E63" s="12" t="s">
        <v>22</v>
      </c>
      <c r="F63" s="12">
        <v>1</v>
      </c>
      <c r="G63" s="14" t="s">
        <v>81</v>
      </c>
      <c r="H63" s="15">
        <v>165000</v>
      </c>
      <c r="I63" s="15">
        <f t="shared" si="1"/>
        <v>165000</v>
      </c>
      <c r="J63" s="13" t="s">
        <v>344</v>
      </c>
    </row>
    <row r="64" spans="1:23" ht="12.5" x14ac:dyDescent="0.25">
      <c r="A64" s="12" t="s">
        <v>205</v>
      </c>
      <c r="B64" s="12">
        <v>16</v>
      </c>
      <c r="C64" s="12" t="s">
        <v>51</v>
      </c>
      <c r="D64" s="21" t="s">
        <v>709</v>
      </c>
      <c r="E64" s="12" t="s">
        <v>22</v>
      </c>
      <c r="F64" s="12">
        <v>1</v>
      </c>
      <c r="G64" s="14" t="s">
        <v>703</v>
      </c>
      <c r="H64" s="15">
        <v>140000</v>
      </c>
      <c r="I64" s="15">
        <f t="shared" si="1"/>
        <v>140000</v>
      </c>
      <c r="J64" s="13" t="s">
        <v>679</v>
      </c>
    </row>
    <row r="65" spans="1:10" ht="12.5" x14ac:dyDescent="0.25">
      <c r="A65" s="12" t="s">
        <v>207</v>
      </c>
      <c r="B65" s="12">
        <v>17</v>
      </c>
      <c r="C65" s="12" t="s">
        <v>51</v>
      </c>
      <c r="D65" s="21" t="s">
        <v>710</v>
      </c>
      <c r="E65" s="12" t="s">
        <v>22</v>
      </c>
      <c r="F65" s="12">
        <v>1</v>
      </c>
      <c r="G65" s="14" t="s">
        <v>81</v>
      </c>
      <c r="H65" s="15">
        <v>100000</v>
      </c>
      <c r="I65" s="15">
        <f t="shared" si="1"/>
        <v>100000</v>
      </c>
      <c r="J65" s="13" t="s">
        <v>711</v>
      </c>
    </row>
    <row r="66" spans="1:10" ht="12.5" x14ac:dyDescent="0.25">
      <c r="A66" s="12" t="s">
        <v>210</v>
      </c>
      <c r="B66" s="12">
        <v>17</v>
      </c>
      <c r="C66" s="12" t="s">
        <v>51</v>
      </c>
      <c r="D66" s="21" t="s">
        <v>712</v>
      </c>
      <c r="E66" s="12" t="s">
        <v>22</v>
      </c>
      <c r="F66" s="12">
        <v>1</v>
      </c>
      <c r="G66" s="14" t="s">
        <v>81</v>
      </c>
      <c r="H66" s="15">
        <v>360000</v>
      </c>
      <c r="I66" s="15">
        <f t="shared" si="1"/>
        <v>360000</v>
      </c>
      <c r="J66" s="13" t="s">
        <v>713</v>
      </c>
    </row>
    <row r="67" spans="1:10" ht="12.5" x14ac:dyDescent="0.25">
      <c r="A67" s="12" t="s">
        <v>213</v>
      </c>
      <c r="B67" s="12">
        <v>17</v>
      </c>
      <c r="C67" s="12" t="s">
        <v>51</v>
      </c>
      <c r="D67" s="21" t="s">
        <v>714</v>
      </c>
      <c r="E67" s="12" t="s">
        <v>22</v>
      </c>
      <c r="F67" s="12">
        <v>1</v>
      </c>
      <c r="G67" s="14" t="s">
        <v>703</v>
      </c>
      <c r="H67" s="15">
        <v>60000</v>
      </c>
      <c r="I67" s="15">
        <f t="shared" si="1"/>
        <v>60000</v>
      </c>
      <c r="J67" s="13" t="s">
        <v>715</v>
      </c>
    </row>
    <row r="68" spans="1:10" ht="12.5" x14ac:dyDescent="0.25">
      <c r="A68" s="12" t="s">
        <v>216</v>
      </c>
      <c r="B68" s="12">
        <v>17</v>
      </c>
      <c r="C68" s="12" t="s">
        <v>51</v>
      </c>
      <c r="D68" s="21" t="s">
        <v>716</v>
      </c>
      <c r="E68" s="12" t="s">
        <v>22</v>
      </c>
      <c r="F68" s="12">
        <v>1</v>
      </c>
      <c r="G68" s="14" t="s">
        <v>81</v>
      </c>
      <c r="H68" s="15">
        <v>150000</v>
      </c>
      <c r="I68" s="15">
        <f t="shared" si="1"/>
        <v>150000</v>
      </c>
      <c r="J68" s="13" t="s">
        <v>717</v>
      </c>
    </row>
    <row r="69" spans="1:10" ht="12.5" x14ac:dyDescent="0.25">
      <c r="A69" s="12" t="s">
        <v>218</v>
      </c>
      <c r="B69" s="12">
        <v>17</v>
      </c>
      <c r="C69" s="12" t="s">
        <v>51</v>
      </c>
      <c r="D69" s="21" t="s">
        <v>357</v>
      </c>
      <c r="E69" s="12" t="s">
        <v>22</v>
      </c>
      <c r="F69" s="12">
        <v>1</v>
      </c>
      <c r="G69" s="14" t="s">
        <v>81</v>
      </c>
      <c r="H69" s="15">
        <v>55000</v>
      </c>
      <c r="I69" s="15">
        <f t="shared" si="1"/>
        <v>55000</v>
      </c>
      <c r="J69" s="13" t="s">
        <v>718</v>
      </c>
    </row>
    <row r="70" spans="1:10" ht="12.5" x14ac:dyDescent="0.25">
      <c r="A70" s="12" t="s">
        <v>221</v>
      </c>
      <c r="B70" s="12">
        <v>17</v>
      </c>
      <c r="C70" s="12" t="s">
        <v>73</v>
      </c>
      <c r="D70" s="21" t="s">
        <v>719</v>
      </c>
      <c r="E70" s="12" t="s">
        <v>22</v>
      </c>
      <c r="F70" s="12">
        <v>1</v>
      </c>
      <c r="G70" s="14" t="s">
        <v>81</v>
      </c>
      <c r="H70" s="15">
        <v>125000</v>
      </c>
      <c r="I70" s="15">
        <f t="shared" si="1"/>
        <v>125000</v>
      </c>
      <c r="J70" s="13" t="s">
        <v>104</v>
      </c>
    </row>
    <row r="71" spans="1:10" ht="12.5" x14ac:dyDescent="0.25">
      <c r="A71" s="12" t="s">
        <v>224</v>
      </c>
      <c r="B71" s="12">
        <v>18</v>
      </c>
      <c r="C71" s="12" t="s">
        <v>51</v>
      </c>
      <c r="D71" s="21" t="s">
        <v>721</v>
      </c>
      <c r="E71" s="12" t="s">
        <v>22</v>
      </c>
      <c r="F71" s="12">
        <v>1</v>
      </c>
      <c r="G71" s="14" t="s">
        <v>81</v>
      </c>
      <c r="H71" s="15">
        <v>410000</v>
      </c>
      <c r="I71" s="15">
        <f t="shared" si="1"/>
        <v>410000</v>
      </c>
      <c r="J71" s="13" t="s">
        <v>723</v>
      </c>
    </row>
    <row r="72" spans="1:10" ht="12.5" x14ac:dyDescent="0.25">
      <c r="A72" s="12" t="s">
        <v>226</v>
      </c>
      <c r="B72" s="12">
        <v>19</v>
      </c>
      <c r="C72" s="12" t="s">
        <v>83</v>
      </c>
      <c r="D72" s="21" t="s">
        <v>724</v>
      </c>
      <c r="E72" s="12" t="s">
        <v>22</v>
      </c>
      <c r="F72" s="12">
        <v>1</v>
      </c>
      <c r="G72" s="14" t="s">
        <v>81</v>
      </c>
      <c r="H72" s="15">
        <v>145000</v>
      </c>
      <c r="I72" s="15">
        <f t="shared" si="1"/>
        <v>145000</v>
      </c>
      <c r="J72" s="13" t="s">
        <v>725</v>
      </c>
    </row>
    <row r="73" spans="1:10" ht="12.5" x14ac:dyDescent="0.25">
      <c r="A73" s="12" t="s">
        <v>229</v>
      </c>
      <c r="B73" s="12">
        <v>19</v>
      </c>
      <c r="C73" s="12" t="s">
        <v>51</v>
      </c>
      <c r="D73" s="21" t="s">
        <v>726</v>
      </c>
      <c r="E73" s="12" t="s">
        <v>22</v>
      </c>
      <c r="F73" s="12">
        <v>1</v>
      </c>
      <c r="G73" s="14" t="s">
        <v>81</v>
      </c>
      <c r="H73" s="15">
        <v>115000</v>
      </c>
      <c r="I73" s="15">
        <f t="shared" si="1"/>
        <v>115000</v>
      </c>
      <c r="J73" s="13" t="s">
        <v>728</v>
      </c>
    </row>
    <row r="74" spans="1:10" ht="12.5" x14ac:dyDescent="0.25">
      <c r="A74" s="12" t="s">
        <v>232</v>
      </c>
      <c r="B74" s="12">
        <v>19</v>
      </c>
      <c r="C74" s="12" t="s">
        <v>51</v>
      </c>
      <c r="D74" s="21" t="s">
        <v>730</v>
      </c>
      <c r="E74" s="12" t="s">
        <v>22</v>
      </c>
      <c r="F74" s="12">
        <v>1</v>
      </c>
      <c r="G74" s="14" t="s">
        <v>81</v>
      </c>
      <c r="H74" s="15">
        <v>355000</v>
      </c>
      <c r="I74" s="15">
        <f t="shared" si="1"/>
        <v>355000</v>
      </c>
      <c r="J74" s="13" t="s">
        <v>134</v>
      </c>
    </row>
    <row r="75" spans="1:10" ht="12.5" x14ac:dyDescent="0.25">
      <c r="A75" s="12" t="s">
        <v>235</v>
      </c>
      <c r="B75" s="12">
        <v>19</v>
      </c>
      <c r="C75" s="12" t="s">
        <v>51</v>
      </c>
      <c r="D75" s="21" t="s">
        <v>731</v>
      </c>
      <c r="E75" s="12" t="s">
        <v>22</v>
      </c>
      <c r="F75" s="12">
        <v>1</v>
      </c>
      <c r="G75" s="14" t="s">
        <v>81</v>
      </c>
      <c r="H75" s="15">
        <v>50000</v>
      </c>
      <c r="I75" s="15">
        <f t="shared" si="1"/>
        <v>50000</v>
      </c>
      <c r="J75" s="13" t="s">
        <v>732</v>
      </c>
    </row>
    <row r="76" spans="1:10" ht="12.5" x14ac:dyDescent="0.25">
      <c r="A76" s="12" t="s">
        <v>238</v>
      </c>
      <c r="B76" s="12">
        <v>21</v>
      </c>
      <c r="C76" s="12" t="s">
        <v>51</v>
      </c>
      <c r="D76" s="21" t="s">
        <v>733</v>
      </c>
      <c r="E76" s="12" t="s">
        <v>22</v>
      </c>
      <c r="F76" s="12">
        <v>1</v>
      </c>
      <c r="G76" s="14" t="s">
        <v>81</v>
      </c>
      <c r="H76" s="15">
        <v>100000</v>
      </c>
      <c r="I76" s="15">
        <f t="shared" si="1"/>
        <v>100000</v>
      </c>
      <c r="J76" s="13" t="s">
        <v>735</v>
      </c>
    </row>
    <row r="77" spans="1:10" ht="12.5" x14ac:dyDescent="0.25">
      <c r="A77" s="12" t="s">
        <v>241</v>
      </c>
      <c r="B77" s="12">
        <v>21</v>
      </c>
      <c r="C77" s="12" t="s">
        <v>10</v>
      </c>
      <c r="D77" s="21" t="s">
        <v>736</v>
      </c>
      <c r="E77" s="12" t="s">
        <v>22</v>
      </c>
      <c r="F77" s="12">
        <v>1</v>
      </c>
      <c r="G77" s="14" t="s">
        <v>81</v>
      </c>
      <c r="H77" s="15">
        <v>30000</v>
      </c>
      <c r="I77" s="15">
        <f t="shared" si="1"/>
        <v>30000</v>
      </c>
      <c r="J77" s="13" t="s">
        <v>738</v>
      </c>
    </row>
    <row r="78" spans="1:10" ht="12.5" x14ac:dyDescent="0.25">
      <c r="A78" s="12" t="s">
        <v>244</v>
      </c>
      <c r="B78" s="12">
        <v>24</v>
      </c>
      <c r="C78" s="12" t="s">
        <v>51</v>
      </c>
      <c r="D78" s="21" t="s">
        <v>709</v>
      </c>
      <c r="E78" s="12" t="s">
        <v>22</v>
      </c>
      <c r="F78" s="12">
        <v>1</v>
      </c>
      <c r="G78" s="14" t="s">
        <v>81</v>
      </c>
      <c r="H78" s="15">
        <v>105000</v>
      </c>
      <c r="I78" s="15">
        <f t="shared" si="1"/>
        <v>105000</v>
      </c>
      <c r="J78" s="13" t="s">
        <v>679</v>
      </c>
    </row>
    <row r="79" spans="1:10" ht="12.5" x14ac:dyDescent="0.25">
      <c r="A79" s="12" t="s">
        <v>247</v>
      </c>
      <c r="B79" s="12">
        <v>29</v>
      </c>
      <c r="C79" s="12" t="s">
        <v>73</v>
      </c>
      <c r="D79" s="21" t="s">
        <v>699</v>
      </c>
      <c r="E79" s="12" t="s">
        <v>22</v>
      </c>
      <c r="F79" s="12">
        <v>1</v>
      </c>
      <c r="G79" s="14" t="s">
        <v>81</v>
      </c>
      <c r="H79" s="15">
        <v>120000</v>
      </c>
      <c r="I79" s="15">
        <f t="shared" si="1"/>
        <v>120000</v>
      </c>
      <c r="J79" s="13" t="s">
        <v>700</v>
      </c>
    </row>
    <row r="80" spans="1:10" ht="12.5" x14ac:dyDescent="0.25">
      <c r="A80" s="12" t="s">
        <v>250</v>
      </c>
      <c r="B80" s="12">
        <v>29</v>
      </c>
      <c r="C80" s="12" t="s">
        <v>51</v>
      </c>
      <c r="D80" s="21" t="s">
        <v>695</v>
      </c>
      <c r="E80" s="12" t="s">
        <v>22</v>
      </c>
      <c r="F80" s="12">
        <v>1</v>
      </c>
      <c r="G80" s="14" t="s">
        <v>81</v>
      </c>
      <c r="H80" s="15">
        <v>340000</v>
      </c>
      <c r="I80" s="15">
        <f t="shared" si="1"/>
        <v>340000</v>
      </c>
      <c r="J80" s="13" t="s">
        <v>696</v>
      </c>
    </row>
    <row r="81" spans="1:10" ht="12.5" x14ac:dyDescent="0.25">
      <c r="A81" s="12" t="s">
        <v>253</v>
      </c>
      <c r="B81" s="12">
        <v>30</v>
      </c>
      <c r="C81" s="12" t="s">
        <v>35</v>
      </c>
      <c r="D81" s="21" t="s">
        <v>739</v>
      </c>
      <c r="E81" s="12" t="s">
        <v>22</v>
      </c>
      <c r="F81" s="12">
        <v>1</v>
      </c>
      <c r="G81" s="14" t="s">
        <v>23</v>
      </c>
      <c r="H81" s="15">
        <v>300000</v>
      </c>
      <c r="I81" s="15">
        <f t="shared" si="1"/>
        <v>300000</v>
      </c>
      <c r="J81" s="13" t="s">
        <v>739</v>
      </c>
    </row>
    <row r="82" spans="1:10" ht="12.5" x14ac:dyDescent="0.25">
      <c r="A82" s="12" t="s">
        <v>256</v>
      </c>
      <c r="B82" s="12">
        <v>30</v>
      </c>
      <c r="C82" s="12" t="s">
        <v>39</v>
      </c>
      <c r="D82" s="21" t="s">
        <v>741</v>
      </c>
      <c r="E82" s="12" t="s">
        <v>22</v>
      </c>
      <c r="F82" s="12">
        <v>2</v>
      </c>
      <c r="G82" s="14" t="s">
        <v>23</v>
      </c>
      <c r="H82" s="15">
        <v>250000</v>
      </c>
      <c r="I82" s="15">
        <f t="shared" si="1"/>
        <v>500000</v>
      </c>
      <c r="J82" s="13" t="s">
        <v>743</v>
      </c>
    </row>
    <row r="83" spans="1:10" ht="12.5" x14ac:dyDescent="0.25">
      <c r="A83" s="12" t="s">
        <v>258</v>
      </c>
      <c r="B83" s="12">
        <v>30</v>
      </c>
      <c r="C83" s="12" t="s">
        <v>51</v>
      </c>
      <c r="D83" s="21" t="s">
        <v>744</v>
      </c>
      <c r="E83" s="12" t="s">
        <v>22</v>
      </c>
      <c r="F83" s="12">
        <v>4</v>
      </c>
      <c r="G83" s="14" t="s">
        <v>133</v>
      </c>
      <c r="H83" s="15">
        <v>43000</v>
      </c>
      <c r="I83" s="15">
        <f t="shared" si="1"/>
        <v>172000</v>
      </c>
      <c r="J83" s="13" t="s">
        <v>744</v>
      </c>
    </row>
    <row r="84" spans="1:10" ht="12.5" x14ac:dyDescent="0.25">
      <c r="A84" s="12" t="s">
        <v>261</v>
      </c>
      <c r="B84" s="12"/>
      <c r="C84" s="12"/>
      <c r="D84" s="21"/>
      <c r="E84" s="12"/>
      <c r="F84" s="12"/>
      <c r="G84" s="14"/>
      <c r="H84" s="15"/>
      <c r="I84" s="15">
        <f t="shared" si="1"/>
        <v>0</v>
      </c>
      <c r="J84" s="13"/>
    </row>
    <row r="85" spans="1:10" ht="12.5" x14ac:dyDescent="0.25">
      <c r="A85" s="12" t="s">
        <v>265</v>
      </c>
      <c r="B85" s="12"/>
      <c r="C85" s="12"/>
      <c r="D85" s="21"/>
      <c r="E85" s="12"/>
      <c r="F85" s="12"/>
      <c r="G85" s="14"/>
      <c r="H85" s="15"/>
      <c r="I85" s="15">
        <f t="shared" si="1"/>
        <v>0</v>
      </c>
      <c r="J85" s="13"/>
    </row>
    <row r="86" spans="1:10" ht="12.5" x14ac:dyDescent="0.25">
      <c r="A86" s="12" t="s">
        <v>266</v>
      </c>
      <c r="B86" s="12"/>
      <c r="C86" s="12"/>
      <c r="D86" s="21"/>
      <c r="E86" s="12"/>
      <c r="F86" s="12"/>
      <c r="G86" s="14"/>
      <c r="H86" s="15"/>
      <c r="I86" s="15">
        <f t="shared" si="1"/>
        <v>0</v>
      </c>
      <c r="J86" s="13"/>
    </row>
    <row r="87" spans="1:10" ht="12.5" x14ac:dyDescent="0.25">
      <c r="A87" s="12" t="s">
        <v>267</v>
      </c>
      <c r="B87" s="12"/>
      <c r="C87" s="12"/>
      <c r="D87" s="21"/>
      <c r="E87" s="12"/>
      <c r="F87" s="12"/>
      <c r="G87" s="14"/>
      <c r="H87" s="15"/>
      <c r="I87" s="15">
        <f t="shared" si="1"/>
        <v>0</v>
      </c>
      <c r="J87" s="13"/>
    </row>
    <row r="88" spans="1:10" ht="12.5" x14ac:dyDescent="0.25">
      <c r="A88" s="12" t="s">
        <v>268</v>
      </c>
      <c r="B88" s="12"/>
      <c r="C88" s="12"/>
      <c r="D88" s="21"/>
      <c r="E88" s="12"/>
      <c r="F88" s="12"/>
      <c r="G88" s="14"/>
      <c r="H88" s="15"/>
      <c r="I88" s="15">
        <f t="shared" si="1"/>
        <v>0</v>
      </c>
      <c r="J88" s="13"/>
    </row>
    <row r="89" spans="1:10" ht="12.5" x14ac:dyDescent="0.25">
      <c r="A89" s="12" t="s">
        <v>270</v>
      </c>
      <c r="B89" s="12"/>
      <c r="C89" s="12"/>
      <c r="D89" s="21"/>
      <c r="E89" s="12"/>
      <c r="F89" s="12"/>
      <c r="G89" s="14"/>
      <c r="H89" s="15"/>
      <c r="I89" s="15">
        <f t="shared" si="1"/>
        <v>0</v>
      </c>
      <c r="J89" s="13"/>
    </row>
    <row r="90" spans="1:10" ht="12.5" x14ac:dyDescent="0.25">
      <c r="A90" s="12" t="s">
        <v>271</v>
      </c>
      <c r="B90" s="12"/>
      <c r="C90" s="12"/>
      <c r="D90" s="21"/>
      <c r="E90" s="12"/>
      <c r="F90" s="12"/>
      <c r="G90" s="14"/>
      <c r="H90" s="15"/>
      <c r="I90" s="15">
        <f t="shared" si="1"/>
        <v>0</v>
      </c>
      <c r="J90" s="13"/>
    </row>
    <row r="91" spans="1:10" ht="12.5" x14ac:dyDescent="0.25">
      <c r="A91" s="12" t="s">
        <v>272</v>
      </c>
      <c r="B91" s="12"/>
      <c r="C91" s="12"/>
      <c r="D91" s="21"/>
      <c r="E91" s="12"/>
      <c r="F91" s="12"/>
      <c r="G91" s="14"/>
      <c r="H91" s="15"/>
      <c r="I91" s="15">
        <f t="shared" si="1"/>
        <v>0</v>
      </c>
      <c r="J91" s="13"/>
    </row>
    <row r="92" spans="1:10" ht="12.5" x14ac:dyDescent="0.25">
      <c r="A92" s="12" t="s">
        <v>273</v>
      </c>
      <c r="B92" s="12"/>
      <c r="C92" s="12"/>
      <c r="D92" s="13"/>
      <c r="E92" s="12"/>
      <c r="F92" s="12"/>
      <c r="G92" s="14"/>
      <c r="H92" s="15"/>
      <c r="I92" s="15">
        <f t="shared" si="1"/>
        <v>0</v>
      </c>
      <c r="J92" s="13"/>
    </row>
    <row r="93" spans="1:10" ht="12.5" x14ac:dyDescent="0.25">
      <c r="A93" s="12" t="s">
        <v>274</v>
      </c>
      <c r="B93" s="12"/>
      <c r="C93" s="12"/>
      <c r="D93" s="13"/>
      <c r="E93" s="12"/>
      <c r="F93" s="12"/>
      <c r="G93" s="14"/>
      <c r="H93" s="15"/>
      <c r="I93" s="15">
        <f t="shared" si="1"/>
        <v>0</v>
      </c>
      <c r="J93" s="13"/>
    </row>
    <row r="94" spans="1:10" ht="12.5" x14ac:dyDescent="0.25">
      <c r="A94" s="12" t="s">
        <v>275</v>
      </c>
      <c r="B94" s="12"/>
      <c r="C94" s="12"/>
      <c r="D94" s="13"/>
      <c r="E94" s="12"/>
      <c r="F94" s="12"/>
      <c r="G94" s="14"/>
      <c r="H94" s="15"/>
      <c r="I94" s="15">
        <f t="shared" si="1"/>
        <v>0</v>
      </c>
      <c r="J94" s="13"/>
    </row>
    <row r="95" spans="1:10" ht="12.5" x14ac:dyDescent="0.25">
      <c r="A95" s="12" t="s">
        <v>276</v>
      </c>
      <c r="B95" s="12"/>
      <c r="C95" s="12"/>
      <c r="D95" s="13"/>
      <c r="E95" s="12"/>
      <c r="F95" s="12"/>
      <c r="G95" s="14"/>
      <c r="H95" s="15"/>
      <c r="I95" s="15">
        <f t="shared" si="1"/>
        <v>0</v>
      </c>
      <c r="J95" s="13"/>
    </row>
    <row r="96" spans="1:10" ht="12.5" x14ac:dyDescent="0.25">
      <c r="A96" s="12" t="s">
        <v>277</v>
      </c>
      <c r="B96" s="12"/>
      <c r="C96" s="12"/>
      <c r="D96" s="13"/>
      <c r="E96" s="12"/>
      <c r="F96" s="12"/>
      <c r="G96" s="14"/>
      <c r="H96" s="15"/>
      <c r="I96" s="15">
        <f t="shared" si="1"/>
        <v>0</v>
      </c>
      <c r="J96" s="13"/>
    </row>
    <row r="97" spans="1:10" ht="12.5" x14ac:dyDescent="0.25">
      <c r="A97" s="12" t="s">
        <v>278</v>
      </c>
      <c r="B97" s="12"/>
      <c r="C97" s="12"/>
      <c r="D97" s="13"/>
      <c r="E97" s="12"/>
      <c r="F97" s="12"/>
      <c r="G97" s="14"/>
      <c r="H97" s="15"/>
      <c r="I97" s="15">
        <f t="shared" si="1"/>
        <v>0</v>
      </c>
      <c r="J97" s="13"/>
    </row>
    <row r="98" spans="1:10" ht="12.5" x14ac:dyDescent="0.25">
      <c r="A98" s="12" t="s">
        <v>279</v>
      </c>
      <c r="B98" s="12"/>
      <c r="C98" s="12"/>
      <c r="D98" s="13"/>
      <c r="E98" s="12"/>
      <c r="F98" s="12"/>
      <c r="G98" s="14"/>
      <c r="H98" s="15"/>
      <c r="I98" s="15">
        <f t="shared" si="1"/>
        <v>0</v>
      </c>
      <c r="J98" s="14"/>
    </row>
    <row r="99" spans="1:10" ht="12.5" x14ac:dyDescent="0.25">
      <c r="A99" s="12" t="s">
        <v>280</v>
      </c>
      <c r="B99" s="12"/>
      <c r="C99" s="12"/>
      <c r="D99" s="13"/>
      <c r="E99" s="12"/>
      <c r="F99" s="12"/>
      <c r="G99" s="14"/>
      <c r="H99" s="15"/>
      <c r="I99" s="15">
        <f t="shared" si="1"/>
        <v>0</v>
      </c>
      <c r="J99" s="13"/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>
        <f t="shared" si="1"/>
        <v>0</v>
      </c>
      <c r="J100" s="21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>
        <f t="shared" si="1"/>
        <v>0</v>
      </c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>
        <f t="shared" si="1"/>
        <v>0</v>
      </c>
      <c r="J102" s="13"/>
    </row>
    <row r="103" spans="1:10" ht="12.5" x14ac:dyDescent="0.25">
      <c r="A103" s="12">
        <v>84</v>
      </c>
      <c r="B103" s="12"/>
      <c r="C103" s="12"/>
      <c r="D103" s="13"/>
      <c r="E103" s="12"/>
      <c r="F103" s="12"/>
      <c r="G103" s="14"/>
      <c r="H103" s="15"/>
      <c r="I103" s="15">
        <f t="shared" si="1"/>
        <v>0</v>
      </c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>
        <f t="shared" si="1"/>
        <v>0</v>
      </c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1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1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1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1"/>
        <v>0</v>
      </c>
      <c r="J108" s="13"/>
    </row>
    <row r="109" spans="1:10" ht="12.5" x14ac:dyDescent="0.25">
      <c r="A109" s="12"/>
      <c r="B109" s="12"/>
      <c r="C109" s="12"/>
      <c r="D109" s="13"/>
      <c r="E109" s="12"/>
      <c r="F109" s="12"/>
      <c r="G109" s="14"/>
      <c r="H109" s="15"/>
      <c r="I109" s="15">
        <f t="shared" si="1"/>
        <v>0</v>
      </c>
      <c r="J109" s="13"/>
    </row>
    <row r="110" spans="1:10" ht="12.5" x14ac:dyDescent="0.25">
      <c r="A110" s="12"/>
      <c r="B110" s="12"/>
      <c r="C110" s="12"/>
      <c r="D110" s="13"/>
      <c r="E110" s="12"/>
      <c r="F110" s="12"/>
      <c r="G110" s="14"/>
      <c r="H110" s="15"/>
      <c r="I110" s="15">
        <f t="shared" si="1"/>
        <v>0</v>
      </c>
      <c r="J110" s="13"/>
    </row>
    <row r="111" spans="1:10" ht="12.5" x14ac:dyDescent="0.25">
      <c r="A111" s="12"/>
      <c r="B111" s="12"/>
      <c r="C111" s="12"/>
      <c r="D111" s="13"/>
      <c r="E111" s="12"/>
      <c r="F111" s="12"/>
      <c r="G111" s="14"/>
      <c r="H111" s="15"/>
      <c r="I111" s="15">
        <f t="shared" si="1"/>
        <v>0</v>
      </c>
      <c r="J111" s="13"/>
    </row>
    <row r="112" spans="1:10" ht="12.5" x14ac:dyDescent="0.25">
      <c r="A112" s="12"/>
      <c r="B112" s="12"/>
      <c r="C112" s="12"/>
      <c r="D112" s="13"/>
      <c r="E112" s="12"/>
      <c r="F112" s="12"/>
      <c r="G112" s="14"/>
      <c r="H112" s="15"/>
      <c r="I112" s="15">
        <f t="shared" si="1"/>
        <v>0</v>
      </c>
      <c r="J112" s="13"/>
    </row>
    <row r="113" spans="1:10" ht="12.5" x14ac:dyDescent="0.25">
      <c r="A113" s="12"/>
      <c r="B113" s="12"/>
      <c r="C113" s="12"/>
      <c r="D113" s="13"/>
      <c r="E113" s="12"/>
      <c r="F113" s="12"/>
      <c r="G113" s="14"/>
      <c r="H113" s="15"/>
      <c r="I113" s="15">
        <f t="shared" si="1"/>
        <v>0</v>
      </c>
      <c r="J113" s="13"/>
    </row>
    <row r="114" spans="1:10" ht="12.5" x14ac:dyDescent="0.25">
      <c r="A114" s="12"/>
      <c r="B114" s="12"/>
      <c r="C114" s="12"/>
      <c r="D114" s="13"/>
      <c r="E114" s="12"/>
      <c r="F114" s="12"/>
      <c r="G114" s="14"/>
      <c r="H114" s="15"/>
      <c r="I114" s="15">
        <f t="shared" si="1"/>
        <v>0</v>
      </c>
      <c r="J114" s="13"/>
    </row>
    <row r="115" spans="1:10" ht="12.5" x14ac:dyDescent="0.25">
      <c r="A115" s="12"/>
      <c r="B115" s="12"/>
      <c r="C115" s="12"/>
      <c r="D115" s="13"/>
      <c r="E115" s="12"/>
      <c r="F115" s="12"/>
      <c r="G115" s="14"/>
      <c r="H115" s="15"/>
      <c r="I115" s="15">
        <f t="shared" si="1"/>
        <v>0</v>
      </c>
      <c r="J115" s="13"/>
    </row>
    <row r="116" spans="1:10" ht="12.5" x14ac:dyDescent="0.25">
      <c r="A116" s="12"/>
      <c r="B116" s="12"/>
      <c r="C116" s="12"/>
      <c r="D116" s="13"/>
      <c r="E116" s="12"/>
      <c r="F116" s="12"/>
      <c r="G116" s="14"/>
      <c r="H116" s="15"/>
      <c r="I116" s="15">
        <f t="shared" si="1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1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1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1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1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1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1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1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1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1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1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1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1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1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1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1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1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1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1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1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1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1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1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1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1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1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1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1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1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1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1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1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1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1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1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1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1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1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1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1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1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1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1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1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1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1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1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1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1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1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1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1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1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1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1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1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1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1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1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1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1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1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1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1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1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1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1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1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1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1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1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1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1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1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1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1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1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1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1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7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3">
    <dataValidation type="list" allowBlank="1" showErrorMessage="1" sqref="E20:E194" xr:uid="{00000000-0002-0000-0700-000000000000}">
      <formula1>"One Time,Reccuring"</formula1>
    </dataValidation>
    <dataValidation type="list" allowBlank="1" showErrorMessage="1" sqref="P18 C20:C34 C37:C194" xr:uid="{00000000-0002-0000-0700-000001000000}">
      <formula1>"Stock Dagangan,Stock Bahan,Operational,Packing,Tenant,Gaji Karyawan,Team,Iklan,Aset Toko"</formula1>
    </dataValidation>
    <dataValidation type="list" allowBlank="1" showErrorMessage="1" sqref="C35:C36" xr:uid="{00000000-0002-0000-0700-000002000000}">
      <formula1>"Stock Dagangan,Stock Bahan,Operational,Packing,Tenant,Gaji Karyawan,Team,Iklan,Aset toko"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Revenue'!AL30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15534500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830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51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15534500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6558000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194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IFERROR(__xludf.DUMMYFUNCTION("filter(A20:J194,C20:C194=P18)"),"16")</f>
        <v>16</v>
      </c>
      <c r="O20" s="7">
        <f ca="1">IFERROR(__xludf.DUMMYFUNCTION("""COMPUTED_VALUE"""),10)</f>
        <v>10</v>
      </c>
      <c r="P20" s="7" t="str">
        <f ca="1">IFERROR(__xludf.DUMMYFUNCTION("""COMPUTED_VALUE"""),"Stock Dagangan")</f>
        <v>Stock Dagangan</v>
      </c>
      <c r="Q20" s="7" t="str">
        <f ca="1">IFERROR(__xludf.DUMMYFUNCTION("""COMPUTED_VALUE"""),"Jepit Jepun Rantai ")</f>
        <v xml:space="preserve">Jepit Jepun Rantai 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IFERROR(__xludf.DUMMYFUNCTION("""COMPUTED_VALUE"""),"paket")</f>
        <v>paket</v>
      </c>
      <c r="U20" s="17">
        <f ca="1">IFERROR(__xludf.DUMMYFUNCTION("""COMPUTED_VALUE"""),430000)</f>
        <v>430000</v>
      </c>
      <c r="V20" s="17">
        <f ca="1">IFERROR(__xludf.DUMMYFUNCTION("""COMPUTED_VALUE"""),430000)</f>
        <v>430000</v>
      </c>
      <c r="W20" s="7" t="str">
        <f ca="1">IFERROR(__xludf.DUMMYFUNCTION("""COMPUTED_VALUE"""),"Oura Accesories")</f>
        <v>Oura Accesories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IFERROR(__xludf.DUMMYFUNCTION("""COMPUTED_VALUE"""),"17")</f>
        <v>17</v>
      </c>
      <c r="O21" s="7">
        <f ca="1">IFERROR(__xludf.DUMMYFUNCTION("""COMPUTED_VALUE"""),11)</f>
        <v>11</v>
      </c>
      <c r="P21" s="7" t="str">
        <f ca="1">IFERROR(__xludf.DUMMYFUNCTION("""COMPUTED_VALUE"""),"Stock Dagangan")</f>
        <v>Stock Dagangan</v>
      </c>
      <c r="Q21" s="7" t="str">
        <f ca="1">IFERROR(__xludf.DUMMYFUNCTION("""COMPUTED_VALUE"""),"Kain Pantai")</f>
        <v>Kain Pantai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IFERROR(__xludf.DUMMYFUNCTION("""COMPUTED_VALUE"""),"paket")</f>
        <v>paket</v>
      </c>
      <c r="U21" s="17">
        <f ca="1">IFERROR(__xludf.DUMMYFUNCTION("""COMPUTED_VALUE"""),270000)</f>
        <v>270000</v>
      </c>
      <c r="V21" s="17">
        <f ca="1">IFERROR(__xludf.DUMMYFUNCTION("""COMPUTED_VALUE"""),270000)</f>
        <v>270000</v>
      </c>
      <c r="W21" s="7" t="str">
        <f ca="1">IFERROR(__xludf.DUMMYFUNCTION("""COMPUTED_VALUE"""),"GRIESA")</f>
        <v>GRIESA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IFERROR(__xludf.DUMMYFUNCTION("""COMPUTED_VALUE"""),"18")</f>
        <v>18</v>
      </c>
      <c r="O22" s="7">
        <f ca="1">IFERROR(__xludf.DUMMYFUNCTION("""COMPUTED_VALUE"""),11)</f>
        <v>11</v>
      </c>
      <c r="P22" s="7" t="str">
        <f ca="1">IFERROR(__xludf.DUMMYFUNCTION("""COMPUTED_VALUE"""),"Stock Dagangan")</f>
        <v>Stock Dagangan</v>
      </c>
      <c r="Q22" s="7" t="str">
        <f ca="1">IFERROR(__xludf.DUMMYFUNCTION("""COMPUTED_VALUE"""),"Kalung hati")</f>
        <v>Kalung hati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IFERROR(__xludf.DUMMYFUNCTION("""COMPUTED_VALUE"""),"paket")</f>
        <v>paket</v>
      </c>
      <c r="U22" s="17">
        <f ca="1">IFERROR(__xludf.DUMMYFUNCTION("""COMPUTED_VALUE"""),190000)</f>
        <v>190000</v>
      </c>
      <c r="V22" s="17">
        <f ca="1">IFERROR(__xludf.DUMMYFUNCTION("""COMPUTED_VALUE"""),190000)</f>
        <v>190000</v>
      </c>
      <c r="W22" s="7" t="str">
        <f ca="1">IFERROR(__xludf.DUMMYFUNCTION("""COMPUTED_VALUE"""),"Rasberries")</f>
        <v>Rasberries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 t="str">
        <f ca="1">IFERROR(__xludf.DUMMYFUNCTION("""COMPUTED_VALUE"""),"19")</f>
        <v>19</v>
      </c>
      <c r="O23" s="7">
        <f ca="1">IFERROR(__xludf.DUMMYFUNCTION("""COMPUTED_VALUE"""),11)</f>
        <v>11</v>
      </c>
      <c r="P23" s="7" t="str">
        <f ca="1">IFERROR(__xludf.DUMMYFUNCTION("""COMPUTED_VALUE"""),"Stock Dagangan")</f>
        <v>Stock Dagangan</v>
      </c>
      <c r="Q23" s="7" t="str">
        <f ca="1">IFERROR(__xludf.DUMMYFUNCTION("""COMPUTED_VALUE"""),"Ganci Naga")</f>
        <v>Ganci Naga</v>
      </c>
      <c r="R23" s="7" t="str">
        <f ca="1">IFERROR(__xludf.DUMMYFUNCTION("""COMPUTED_VALUE"""),"Reccuring")</f>
        <v>Reccuring</v>
      </c>
      <c r="S23" s="7">
        <f ca="1">IFERROR(__xludf.DUMMYFUNCTION("""COMPUTED_VALUE"""),1)</f>
        <v>1</v>
      </c>
      <c r="T23" s="16" t="str">
        <f ca="1">IFERROR(__xludf.DUMMYFUNCTION("""COMPUTED_VALUE"""),"paket")</f>
        <v>paket</v>
      </c>
      <c r="U23" s="17">
        <f ca="1">IFERROR(__xludf.DUMMYFUNCTION("""COMPUTED_VALUE"""),350000)</f>
        <v>350000</v>
      </c>
      <c r="V23" s="17">
        <f ca="1">IFERROR(__xludf.DUMMYFUNCTION("""COMPUTED_VALUE"""),350000)</f>
        <v>350000</v>
      </c>
      <c r="W23" s="7" t="str">
        <f ca="1">IFERROR(__xludf.DUMMYFUNCTION("""COMPUTED_VALUE"""),"Misaki Official Indonesia")</f>
        <v>Misaki Official Indonesia</v>
      </c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N24" s="7" t="str">
        <f ca="1">IFERROR(__xludf.DUMMYFUNCTION("""COMPUTED_VALUE"""),"20")</f>
        <v>20</v>
      </c>
      <c r="O24" s="7">
        <f ca="1">IFERROR(__xludf.DUMMYFUNCTION("""COMPUTED_VALUE"""),11)</f>
        <v>11</v>
      </c>
      <c r="P24" s="7" t="str">
        <f ca="1">IFERROR(__xludf.DUMMYFUNCTION("""COMPUTED_VALUE"""),"Stock Dagangan")</f>
        <v>Stock Dagangan</v>
      </c>
      <c r="Q24" s="7" t="str">
        <f ca="1">IFERROR(__xludf.DUMMYFUNCTION("""COMPUTED_VALUE"""),"Anting bunga dan kundangan")</f>
        <v>Anting bunga dan kundangan</v>
      </c>
      <c r="R24" s="7" t="str">
        <f ca="1">IFERROR(__xludf.DUMMYFUNCTION("""COMPUTED_VALUE"""),"Reccuring")</f>
        <v>Reccuring</v>
      </c>
      <c r="S24" s="7">
        <f ca="1">IFERROR(__xludf.DUMMYFUNCTION("""COMPUTED_VALUE"""),1)</f>
        <v>1</v>
      </c>
      <c r="T24" s="16" t="str">
        <f ca="1">IFERROR(__xludf.DUMMYFUNCTION("""COMPUTED_VALUE"""),"paket")</f>
        <v>paket</v>
      </c>
      <c r="U24" s="17">
        <f ca="1">IFERROR(__xludf.DUMMYFUNCTION("""COMPUTED_VALUE"""),110000)</f>
        <v>110000</v>
      </c>
      <c r="V24" s="17">
        <f ca="1">IFERROR(__xludf.DUMMYFUNCTION("""COMPUTED_VALUE"""),110000)</f>
        <v>110000</v>
      </c>
      <c r="W24" s="7" t="str">
        <f ca="1">IFERROR(__xludf.DUMMYFUNCTION("""COMPUTED_VALUE"""),"Fashioniesta")</f>
        <v>Fashioniesta</v>
      </c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N25" s="7" t="str">
        <f ca="1">IFERROR(__xludf.DUMMYFUNCTION("""COMPUTED_VALUE"""),"21")</f>
        <v>21</v>
      </c>
      <c r="O25" s="7">
        <f ca="1">IFERROR(__xludf.DUMMYFUNCTION("""COMPUTED_VALUE"""),11)</f>
        <v>11</v>
      </c>
      <c r="P25" s="7" t="str">
        <f ca="1">IFERROR(__xludf.DUMMYFUNCTION("""COMPUTED_VALUE"""),"Stock Dagangan")</f>
        <v>Stock Dagangan</v>
      </c>
      <c r="Q25" s="7" t="str">
        <f ca="1">IFERROR(__xludf.DUMMYFUNCTION("""COMPUTED_VALUE"""),"Ganci Magnet Couple ")</f>
        <v xml:space="preserve">Ganci Magnet Couple </v>
      </c>
      <c r="R25" s="7" t="str">
        <f ca="1">IFERROR(__xludf.DUMMYFUNCTION("""COMPUTED_VALUE"""),"Reccuring")</f>
        <v>Reccuring</v>
      </c>
      <c r="S25" s="7">
        <f ca="1">IFERROR(__xludf.DUMMYFUNCTION("""COMPUTED_VALUE"""),1)</f>
        <v>1</v>
      </c>
      <c r="T25" s="16" t="str">
        <f ca="1">IFERROR(__xludf.DUMMYFUNCTION("""COMPUTED_VALUE"""),"paket")</f>
        <v>paket</v>
      </c>
      <c r="U25" s="17">
        <f ca="1">IFERROR(__xludf.DUMMYFUNCTION("""COMPUTED_VALUE"""),170000)</f>
        <v>170000</v>
      </c>
      <c r="V25" s="17">
        <f ca="1">IFERROR(__xludf.DUMMYFUNCTION("""COMPUTED_VALUE"""),170000)</f>
        <v>170000</v>
      </c>
      <c r="W25" s="7" t="str">
        <f ca="1">IFERROR(__xludf.DUMMYFUNCTION("""COMPUTED_VALUE"""),"Kitamura")</f>
        <v>Kitamura</v>
      </c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2100000</v>
      </c>
      <c r="I26" s="15">
        <f t="shared" si="0"/>
        <v>2100000</v>
      </c>
      <c r="J26" s="13" t="s">
        <v>37</v>
      </c>
      <c r="N26" s="7" t="str">
        <f ca="1">IFERROR(__xludf.DUMMYFUNCTION("""COMPUTED_VALUE"""),"22")</f>
        <v>22</v>
      </c>
      <c r="O26" s="7">
        <f ca="1">IFERROR(__xludf.DUMMYFUNCTION("""COMPUTED_VALUE"""),11)</f>
        <v>11</v>
      </c>
      <c r="P26" s="7" t="str">
        <f ca="1">IFERROR(__xludf.DUMMYFUNCTION("""COMPUTED_VALUE"""),"Stock Dagangan")</f>
        <v>Stock Dagangan</v>
      </c>
      <c r="Q26" s="7" t="str">
        <f ca="1">IFERROR(__xludf.DUMMYFUNCTION("""COMPUTED_VALUE"""),"Ganci Loopy")</f>
        <v>Ganci Loopy</v>
      </c>
      <c r="R26" s="7" t="str">
        <f ca="1">IFERROR(__xludf.DUMMYFUNCTION("""COMPUTED_VALUE"""),"Reccuring")</f>
        <v>Reccuring</v>
      </c>
      <c r="S26" s="7">
        <f ca="1">IFERROR(__xludf.DUMMYFUNCTION("""COMPUTED_VALUE"""),1)</f>
        <v>1</v>
      </c>
      <c r="T26" s="16" t="str">
        <f ca="1">IFERROR(__xludf.DUMMYFUNCTION("""COMPUTED_VALUE"""),"paket")</f>
        <v>paket</v>
      </c>
      <c r="U26" s="17">
        <f ca="1">IFERROR(__xludf.DUMMYFUNCTION("""COMPUTED_VALUE"""),200000)</f>
        <v>200000</v>
      </c>
      <c r="V26" s="17">
        <f ca="1">IFERROR(__xludf.DUMMYFUNCTION("""COMPUTED_VALUE"""),200000)</f>
        <v>200000</v>
      </c>
      <c r="W26" s="7" t="str">
        <f ca="1">IFERROR(__xludf.DUMMYFUNCTION("""COMPUTED_VALUE"""),"Toys Town Indonesia")</f>
        <v>Toys Town Indonesia</v>
      </c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2000000</v>
      </c>
      <c r="I27" s="15">
        <f t="shared" si="0"/>
        <v>2000000</v>
      </c>
      <c r="J27" s="13" t="s">
        <v>38</v>
      </c>
      <c r="N27" s="7" t="str">
        <f ca="1">IFERROR(__xludf.DUMMYFUNCTION("""COMPUTED_VALUE"""),"23")</f>
        <v>23</v>
      </c>
      <c r="O27" s="7">
        <f ca="1">IFERROR(__xludf.DUMMYFUNCTION("""COMPUTED_VALUE"""),11)</f>
        <v>11</v>
      </c>
      <c r="P27" s="7" t="str">
        <f ca="1">IFERROR(__xludf.DUMMYFUNCTION("""COMPUTED_VALUE"""),"Stock Dagangan")</f>
        <v>Stock Dagangan</v>
      </c>
      <c r="Q27" s="7" t="str">
        <f ca="1">IFERROR(__xludf.DUMMYFUNCTION("""COMPUTED_VALUE"""),"Blind Pouch")</f>
        <v>Blind Pouch</v>
      </c>
      <c r="R27" s="7" t="str">
        <f ca="1">IFERROR(__xludf.DUMMYFUNCTION("""COMPUTED_VALUE"""),"Reccuring")</f>
        <v>Reccuring</v>
      </c>
      <c r="S27" s="7">
        <f ca="1">IFERROR(__xludf.DUMMYFUNCTION("""COMPUTED_VALUE"""),1)</f>
        <v>1</v>
      </c>
      <c r="T27" s="16" t="str">
        <f ca="1">IFERROR(__xludf.DUMMYFUNCTION("""COMPUTED_VALUE"""),"paket")</f>
        <v>paket</v>
      </c>
      <c r="U27" s="17">
        <f ca="1">IFERROR(__xludf.DUMMYFUNCTION("""COMPUTED_VALUE"""),290000)</f>
        <v>290000</v>
      </c>
      <c r="V27" s="17">
        <f ca="1">IFERROR(__xludf.DUMMYFUNCTION("""COMPUTED_VALUE"""),290000)</f>
        <v>290000</v>
      </c>
      <c r="W27" s="7" t="str">
        <f ca="1">IFERROR(__xludf.DUMMYFUNCTION("""COMPUTED_VALUE"""),"DDA DDA")</f>
        <v>DDA DDA</v>
      </c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4</v>
      </c>
      <c r="G28" s="14" t="s">
        <v>23</v>
      </c>
      <c r="H28" s="15">
        <v>40000</v>
      </c>
      <c r="I28" s="15">
        <f t="shared" si="0"/>
        <v>160000</v>
      </c>
      <c r="J28" s="13" t="s">
        <v>41</v>
      </c>
      <c r="N28" s="7" t="str">
        <f ca="1">IFERROR(__xludf.DUMMYFUNCTION("""COMPUTED_VALUE"""),"24")</f>
        <v>24</v>
      </c>
      <c r="O28" s="7">
        <f ca="1">IFERROR(__xludf.DUMMYFUNCTION("""COMPUTED_VALUE"""),13)</f>
        <v>13</v>
      </c>
      <c r="P28" s="7" t="str">
        <f ca="1">IFERROR(__xludf.DUMMYFUNCTION("""COMPUTED_VALUE"""),"Stock Dagangan")</f>
        <v>Stock Dagangan</v>
      </c>
      <c r="Q28" s="7" t="str">
        <f ca="1">IFERROR(__xludf.DUMMYFUNCTION("""COMPUTED_VALUE"""),"Ganci Couple Suara")</f>
        <v>Ganci Couple Suara</v>
      </c>
      <c r="R28" s="7" t="str">
        <f ca="1">IFERROR(__xludf.DUMMYFUNCTION("""COMPUTED_VALUE"""),"Reccuring")</f>
        <v>Reccuring</v>
      </c>
      <c r="S28" s="7">
        <f ca="1">IFERROR(__xludf.DUMMYFUNCTION("""COMPUTED_VALUE"""),1)</f>
        <v>1</v>
      </c>
      <c r="T28" s="16" t="str">
        <f ca="1">IFERROR(__xludf.DUMMYFUNCTION("""COMPUTED_VALUE"""),"paket")</f>
        <v>paket</v>
      </c>
      <c r="U28" s="17">
        <f ca="1">IFERROR(__xludf.DUMMYFUNCTION("""COMPUTED_VALUE"""),160000)</f>
        <v>160000</v>
      </c>
      <c r="V28" s="17">
        <f ca="1">IFERROR(__xludf.DUMMYFUNCTION("""COMPUTED_VALUE"""),160000)</f>
        <v>160000</v>
      </c>
      <c r="W28" s="7" t="str">
        <f ca="1">IFERROR(__xludf.DUMMYFUNCTION("""COMPUTED_VALUE"""),"Toyebay")</f>
        <v>Toyebay</v>
      </c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4</v>
      </c>
      <c r="G29" s="14" t="s">
        <v>23</v>
      </c>
      <c r="H29" s="15">
        <v>50000</v>
      </c>
      <c r="I29" s="15">
        <f t="shared" si="0"/>
        <v>200000</v>
      </c>
      <c r="J29" s="13" t="s">
        <v>43</v>
      </c>
      <c r="N29" s="7" t="str">
        <f ca="1">IFERROR(__xludf.DUMMYFUNCTION("""COMPUTED_VALUE"""),"25")</f>
        <v>25</v>
      </c>
      <c r="O29" s="7">
        <f ca="1">IFERROR(__xludf.DUMMYFUNCTION("""COMPUTED_VALUE"""),13)</f>
        <v>13</v>
      </c>
      <c r="P29" s="7" t="str">
        <f ca="1">IFERROR(__xludf.DUMMYFUNCTION("""COMPUTED_VALUE"""),"Stock Dagangan")</f>
        <v>Stock Dagangan</v>
      </c>
      <c r="Q29" s="7" t="str">
        <f ca="1">IFERROR(__xludf.DUMMYFUNCTION("""COMPUTED_VALUE"""),"Ganci Couple menyala")</f>
        <v>Ganci Couple menyala</v>
      </c>
      <c r="R29" s="7" t="str">
        <f ca="1">IFERROR(__xludf.DUMMYFUNCTION("""COMPUTED_VALUE"""),"Reccuring")</f>
        <v>Reccuring</v>
      </c>
      <c r="S29" s="7">
        <f ca="1">IFERROR(__xludf.DUMMYFUNCTION("""COMPUTED_VALUE"""),1)</f>
        <v>1</v>
      </c>
      <c r="T29" s="16" t="str">
        <f ca="1">IFERROR(__xludf.DUMMYFUNCTION("""COMPUTED_VALUE"""),"paket")</f>
        <v>paket</v>
      </c>
      <c r="U29" s="17">
        <f ca="1">IFERROR(__xludf.DUMMYFUNCTION("""COMPUTED_VALUE"""),90000)</f>
        <v>90000</v>
      </c>
      <c r="V29" s="17">
        <f ca="1">IFERROR(__xludf.DUMMYFUNCTION("""COMPUTED_VALUE"""),90000)</f>
        <v>90000</v>
      </c>
      <c r="W29" s="7" t="str">
        <f ca="1">IFERROR(__xludf.DUMMYFUNCTION("""COMPUTED_VALUE"""),"Coco Nook")</f>
        <v>Coco Nook</v>
      </c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5</v>
      </c>
      <c r="G30" s="14" t="s">
        <v>23</v>
      </c>
      <c r="H30" s="15">
        <v>65000</v>
      </c>
      <c r="I30" s="15">
        <f t="shared" si="0"/>
        <v>325000</v>
      </c>
      <c r="J30" s="13" t="s">
        <v>44</v>
      </c>
      <c r="N30" s="7" t="str">
        <f ca="1">IFERROR(__xludf.DUMMYFUNCTION("""COMPUTED_VALUE"""),"26")</f>
        <v>26</v>
      </c>
      <c r="O30" s="7">
        <f ca="1">IFERROR(__xludf.DUMMYFUNCTION("""COMPUTED_VALUE"""),13)</f>
        <v>13</v>
      </c>
      <c r="P30" s="7" t="str">
        <f ca="1">IFERROR(__xludf.DUMMYFUNCTION("""COMPUTED_VALUE"""),"Stock Dagangan")</f>
        <v>Stock Dagangan</v>
      </c>
      <c r="Q30" s="7" t="str">
        <f ca="1">IFERROR(__xludf.DUMMYFUNCTION("""COMPUTED_VALUE"""),"Bag Charm Anggrek")</f>
        <v>Bag Charm Anggrek</v>
      </c>
      <c r="R30" s="7" t="str">
        <f ca="1">IFERROR(__xludf.DUMMYFUNCTION("""COMPUTED_VALUE"""),"Reccuring")</f>
        <v>Reccuring</v>
      </c>
      <c r="S30" s="7">
        <f ca="1">IFERROR(__xludf.DUMMYFUNCTION("""COMPUTED_VALUE"""),1)</f>
        <v>1</v>
      </c>
      <c r="T30" s="16" t="str">
        <f ca="1">IFERROR(__xludf.DUMMYFUNCTION("""COMPUTED_VALUE"""),"paket")</f>
        <v>paket</v>
      </c>
      <c r="U30" s="17">
        <f ca="1">IFERROR(__xludf.DUMMYFUNCTION("""COMPUTED_VALUE"""),160000)</f>
        <v>160000</v>
      </c>
      <c r="V30" s="17">
        <f ca="1">IFERROR(__xludf.DUMMYFUNCTION("""COMPUTED_VALUE"""),160000)</f>
        <v>160000</v>
      </c>
      <c r="W30" s="7" t="str">
        <f ca="1">IFERROR(__xludf.DUMMYFUNCTION("""COMPUTED_VALUE"""),"Die Blume Studio")</f>
        <v>Die Blume Studio</v>
      </c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N31" s="7" t="str">
        <f ca="1">IFERROR(__xludf.DUMMYFUNCTION("""COMPUTED_VALUE"""),"27")</f>
        <v>27</v>
      </c>
      <c r="O31" s="7">
        <f ca="1">IFERROR(__xludf.DUMMYFUNCTION("""COMPUTED_VALUE"""),15)</f>
        <v>15</v>
      </c>
      <c r="P31" s="7" t="str">
        <f ca="1">IFERROR(__xludf.DUMMYFUNCTION("""COMPUTED_VALUE"""),"Stock Dagangan")</f>
        <v>Stock Dagangan</v>
      </c>
      <c r="Q31" s="7" t="str">
        <f ca="1">IFERROR(__xludf.DUMMYFUNCTION("""COMPUTED_VALUE"""),"Jepit Bintang")</f>
        <v>Jepit Bintang</v>
      </c>
      <c r="R31" s="7" t="str">
        <f ca="1">IFERROR(__xludf.DUMMYFUNCTION("""COMPUTED_VALUE"""),"Reccuring")</f>
        <v>Reccuring</v>
      </c>
      <c r="S31" s="7">
        <f ca="1">IFERROR(__xludf.DUMMYFUNCTION("""COMPUTED_VALUE"""),1)</f>
        <v>1</v>
      </c>
      <c r="T31" s="16" t="str">
        <f ca="1">IFERROR(__xludf.DUMMYFUNCTION("""COMPUTED_VALUE"""),"paket")</f>
        <v>paket</v>
      </c>
      <c r="U31" s="17">
        <f ca="1">IFERROR(__xludf.DUMMYFUNCTION("""COMPUTED_VALUE"""),540000)</f>
        <v>540000</v>
      </c>
      <c r="V31" s="17">
        <f ca="1">IFERROR(__xludf.DUMMYFUNCTION("""COMPUTED_VALUE"""),540000)</f>
        <v>540000</v>
      </c>
      <c r="W31" s="7" t="str">
        <f ca="1">IFERROR(__xludf.DUMMYFUNCTION("""COMPUTED_VALUE"""),"Toko Jamin Murah Official Shop")</f>
        <v>Toko Jamin Murah Official Shop</v>
      </c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N32" s="7" t="str">
        <f ca="1">IFERROR(__xludf.DUMMYFUNCTION("""COMPUTED_VALUE"""),"28")</f>
        <v>28</v>
      </c>
      <c r="O32" s="7">
        <f ca="1">IFERROR(__xludf.DUMMYFUNCTION("""COMPUTED_VALUE"""),15)</f>
        <v>15</v>
      </c>
      <c r="P32" s="7" t="str">
        <f ca="1">IFERROR(__xludf.DUMMYFUNCTION("""COMPUTED_VALUE"""),"Stock Dagangan")</f>
        <v>Stock Dagangan</v>
      </c>
      <c r="Q32" s="7" t="str">
        <f ca="1">IFERROR(__xludf.DUMMYFUNCTION("""COMPUTED_VALUE"""),"Case HP")</f>
        <v>Case HP</v>
      </c>
      <c r="R32" s="7" t="str">
        <f ca="1">IFERROR(__xludf.DUMMYFUNCTION("""COMPUTED_VALUE"""),"Reccuring")</f>
        <v>Reccuring</v>
      </c>
      <c r="S32" s="7">
        <f ca="1">IFERROR(__xludf.DUMMYFUNCTION("""COMPUTED_VALUE"""),1)</f>
        <v>1</v>
      </c>
      <c r="T32" s="16" t="str">
        <f ca="1">IFERROR(__xludf.DUMMYFUNCTION("""COMPUTED_VALUE"""),"paket")</f>
        <v>paket</v>
      </c>
      <c r="U32" s="17">
        <f ca="1">IFERROR(__xludf.DUMMYFUNCTION("""COMPUTED_VALUE"""),135000)</f>
        <v>135000</v>
      </c>
      <c r="V32" s="17">
        <f ca="1">IFERROR(__xludf.DUMMYFUNCTION("""COMPUTED_VALUE"""),135000)</f>
        <v>135000</v>
      </c>
      <c r="W32" s="7" t="str">
        <f ca="1">IFERROR(__xludf.DUMMYFUNCTION("""COMPUTED_VALUE"""),"LZ case")</f>
        <v>LZ case</v>
      </c>
    </row>
    <row r="33" spans="1:23" ht="12.5" x14ac:dyDescent="0.25">
      <c r="A33" s="12" t="s">
        <v>127</v>
      </c>
      <c r="B33" s="12">
        <v>1</v>
      </c>
      <c r="C33" s="12" t="s">
        <v>660</v>
      </c>
      <c r="D33" s="21" t="s">
        <v>661</v>
      </c>
      <c r="E33" s="12" t="s">
        <v>22</v>
      </c>
      <c r="F33" s="12">
        <v>1</v>
      </c>
      <c r="G33" s="14" t="s">
        <v>23</v>
      </c>
      <c r="H33" s="15">
        <v>200000</v>
      </c>
      <c r="I33" s="15">
        <f t="shared" si="0"/>
        <v>200000</v>
      </c>
      <c r="J33" s="13" t="s">
        <v>662</v>
      </c>
      <c r="N33" s="7">
        <f ca="1">IFERROR(__xludf.DUMMYFUNCTION("""COMPUTED_VALUE"""),29)</f>
        <v>29</v>
      </c>
      <c r="O33" s="7">
        <f ca="1">IFERROR(__xludf.DUMMYFUNCTION("""COMPUTED_VALUE"""),15)</f>
        <v>15</v>
      </c>
      <c r="P33" s="7" t="str">
        <f ca="1">IFERROR(__xludf.DUMMYFUNCTION("""COMPUTED_VALUE"""),"Stock Dagangan")</f>
        <v>Stock Dagangan</v>
      </c>
      <c r="Q33" s="7" t="str">
        <f ca="1">IFERROR(__xludf.DUMMYFUNCTION("""COMPUTED_VALUE"""),"Case HP")</f>
        <v>Case HP</v>
      </c>
      <c r="R33" s="7" t="str">
        <f ca="1">IFERROR(__xludf.DUMMYFUNCTION("""COMPUTED_VALUE"""),"Reccuring")</f>
        <v>Reccuring</v>
      </c>
      <c r="S33" s="7">
        <f ca="1">IFERROR(__xludf.DUMMYFUNCTION("""COMPUTED_VALUE"""),1)</f>
        <v>1</v>
      </c>
      <c r="T33" s="16" t="str">
        <f ca="1">IFERROR(__xludf.DUMMYFUNCTION("""COMPUTED_VALUE"""),"paket")</f>
        <v>paket</v>
      </c>
      <c r="U33" s="17">
        <f ca="1">IFERROR(__xludf.DUMMYFUNCTION("""COMPUTED_VALUE"""),200000)</f>
        <v>200000</v>
      </c>
      <c r="V33" s="17">
        <f ca="1">IFERROR(__xludf.DUMMYFUNCTION("""COMPUTED_VALUE"""),200000)</f>
        <v>200000</v>
      </c>
      <c r="W33" s="7" t="str">
        <f ca="1">IFERROR(__xludf.DUMMYFUNCTION("""COMPUTED_VALUE"""),"Soulgoodscase")</f>
        <v>Soulgoodscase</v>
      </c>
    </row>
    <row r="34" spans="1:23" ht="12.5" x14ac:dyDescent="0.25">
      <c r="A34" s="12" t="s">
        <v>128</v>
      </c>
      <c r="B34" s="12">
        <v>1</v>
      </c>
      <c r="C34" s="12" t="s">
        <v>39</v>
      </c>
      <c r="D34" s="21" t="s">
        <v>831</v>
      </c>
      <c r="E34" s="12" t="s">
        <v>68</v>
      </c>
      <c r="F34" s="12">
        <v>1</v>
      </c>
      <c r="G34" s="14" t="s">
        <v>832</v>
      </c>
      <c r="H34" s="15">
        <v>135000</v>
      </c>
      <c r="I34" s="15">
        <f t="shared" si="0"/>
        <v>135000</v>
      </c>
      <c r="J34" s="13" t="s">
        <v>833</v>
      </c>
      <c r="N34" s="7" t="str">
        <f ca="1">IFERROR(__xludf.DUMMYFUNCTION("""COMPUTED_VALUE"""),"30")</f>
        <v>30</v>
      </c>
      <c r="O34" s="7">
        <f ca="1">IFERROR(__xludf.DUMMYFUNCTION("""COMPUTED_VALUE"""),15)</f>
        <v>15</v>
      </c>
      <c r="P34" s="7" t="str">
        <f ca="1">IFERROR(__xludf.DUMMYFUNCTION("""COMPUTED_VALUE"""),"Stock Dagangan")</f>
        <v>Stock Dagangan</v>
      </c>
      <c r="Q34" s="7" t="str">
        <f ca="1">IFERROR(__xludf.DUMMYFUNCTION("""COMPUTED_VALUE"""),"Ganci Strap")</f>
        <v>Ganci Strap</v>
      </c>
      <c r="R34" s="7" t="str">
        <f ca="1">IFERROR(__xludf.DUMMYFUNCTION("""COMPUTED_VALUE"""),"Reccuring")</f>
        <v>Reccuring</v>
      </c>
      <c r="S34" s="7">
        <f ca="1">IFERROR(__xludf.DUMMYFUNCTION("""COMPUTED_VALUE"""),1)</f>
        <v>1</v>
      </c>
      <c r="T34" s="16" t="str">
        <f ca="1">IFERROR(__xludf.DUMMYFUNCTION("""COMPUTED_VALUE"""),"paket")</f>
        <v>paket</v>
      </c>
      <c r="U34" s="17">
        <f ca="1">IFERROR(__xludf.DUMMYFUNCTION("""COMPUTED_VALUE"""),145000)</f>
        <v>145000</v>
      </c>
      <c r="V34" s="17">
        <f ca="1">IFERROR(__xludf.DUMMYFUNCTION("""COMPUTED_VALUE"""),145000)</f>
        <v>145000</v>
      </c>
      <c r="W34" s="7" t="str">
        <f ca="1">IFERROR(__xludf.DUMMYFUNCTION("""COMPUTED_VALUE"""),"OkOkOk")</f>
        <v>OkOkOk</v>
      </c>
    </row>
    <row r="35" spans="1:23" ht="12.5" x14ac:dyDescent="0.25">
      <c r="A35" s="12" t="s">
        <v>129</v>
      </c>
      <c r="B35" s="12">
        <v>10</v>
      </c>
      <c r="C35" s="12" t="s">
        <v>51</v>
      </c>
      <c r="D35" s="21" t="s">
        <v>834</v>
      </c>
      <c r="E35" s="12" t="s">
        <v>22</v>
      </c>
      <c r="F35" s="12">
        <v>1</v>
      </c>
      <c r="G35" s="14" t="s">
        <v>81</v>
      </c>
      <c r="H35" s="15">
        <v>430000</v>
      </c>
      <c r="I35" s="15">
        <f t="shared" si="0"/>
        <v>430000</v>
      </c>
      <c r="J35" s="13" t="s">
        <v>459</v>
      </c>
      <c r="N35" s="7" t="str">
        <f ca="1">IFERROR(__xludf.DUMMYFUNCTION("""COMPUTED_VALUE"""),"31")</f>
        <v>31</v>
      </c>
      <c r="O35" s="7">
        <f ca="1">IFERROR(__xludf.DUMMYFUNCTION("""COMPUTED_VALUE"""),16)</f>
        <v>16</v>
      </c>
      <c r="P35" s="7" t="str">
        <f ca="1">IFERROR(__xludf.DUMMYFUNCTION("""COMPUTED_VALUE"""),"Stock Dagangan")</f>
        <v>Stock Dagangan</v>
      </c>
      <c r="Q35" s="7" t="str">
        <f ca="1">IFERROR(__xludf.DUMMYFUNCTION("""COMPUTED_VALUE"""),"Headband")</f>
        <v>Headband</v>
      </c>
      <c r="R35" s="7" t="str">
        <f ca="1">IFERROR(__xludf.DUMMYFUNCTION("""COMPUTED_VALUE"""),"Reccuring")</f>
        <v>Reccuring</v>
      </c>
      <c r="S35" s="7">
        <f ca="1">IFERROR(__xludf.DUMMYFUNCTION("""COMPUTED_VALUE"""),1)</f>
        <v>1</v>
      </c>
      <c r="T35" s="16" t="str">
        <f ca="1">IFERROR(__xludf.DUMMYFUNCTION("""COMPUTED_VALUE"""),"paket")</f>
        <v>paket</v>
      </c>
      <c r="U35" s="17">
        <f ca="1">IFERROR(__xludf.DUMMYFUNCTION("""COMPUTED_VALUE"""),195000)</f>
        <v>195000</v>
      </c>
      <c r="V35" s="17">
        <f ca="1">IFERROR(__xludf.DUMMYFUNCTION("""COMPUTED_VALUE"""),195000)</f>
        <v>195000</v>
      </c>
      <c r="W35" s="7" t="str">
        <f ca="1">IFERROR(__xludf.DUMMYFUNCTION("""COMPUTED_VALUE"""),"Ce es olshop")</f>
        <v>Ce es olshop</v>
      </c>
    </row>
    <row r="36" spans="1:23" ht="12.5" x14ac:dyDescent="0.25">
      <c r="A36" s="12" t="s">
        <v>130</v>
      </c>
      <c r="B36" s="12">
        <v>11</v>
      </c>
      <c r="C36" s="12" t="s">
        <v>51</v>
      </c>
      <c r="D36" s="21" t="s">
        <v>345</v>
      </c>
      <c r="E36" s="12" t="s">
        <v>22</v>
      </c>
      <c r="F36" s="12">
        <v>1</v>
      </c>
      <c r="G36" s="14" t="s">
        <v>81</v>
      </c>
      <c r="H36" s="15">
        <v>270000</v>
      </c>
      <c r="I36" s="15">
        <f t="shared" si="0"/>
        <v>270000</v>
      </c>
      <c r="J36" s="13" t="s">
        <v>580</v>
      </c>
      <c r="N36" s="7" t="str">
        <f ca="1">IFERROR(__xludf.DUMMYFUNCTION("""COMPUTED_VALUE"""),"32")</f>
        <v>32</v>
      </c>
      <c r="O36" s="7">
        <f ca="1">IFERROR(__xludf.DUMMYFUNCTION("""COMPUTED_VALUE"""),16)</f>
        <v>16</v>
      </c>
      <c r="P36" s="7" t="str">
        <f ca="1">IFERROR(__xludf.DUMMYFUNCTION("""COMPUTED_VALUE"""),"Stock Dagangan")</f>
        <v>Stock Dagangan</v>
      </c>
      <c r="Q36" s="7" t="str">
        <f ca="1">IFERROR(__xludf.DUMMYFUNCTION("""COMPUTED_VALUE"""),"Slayer")</f>
        <v>Slayer</v>
      </c>
      <c r="R36" s="7" t="str">
        <f ca="1">IFERROR(__xludf.DUMMYFUNCTION("""COMPUTED_VALUE"""),"Reccuring")</f>
        <v>Reccuring</v>
      </c>
      <c r="S36" s="7">
        <f ca="1">IFERROR(__xludf.DUMMYFUNCTION("""COMPUTED_VALUE"""),1)</f>
        <v>1</v>
      </c>
      <c r="T36" s="16" t="str">
        <f ca="1">IFERROR(__xludf.DUMMYFUNCTION("""COMPUTED_VALUE"""),"paket")</f>
        <v>paket</v>
      </c>
      <c r="U36" s="16">
        <f ca="1">IFERROR(__xludf.DUMMYFUNCTION("""COMPUTED_VALUE"""),35000)</f>
        <v>35000</v>
      </c>
      <c r="V36" s="16">
        <f ca="1">IFERROR(__xludf.DUMMYFUNCTION("""COMPUTED_VALUE"""),35000)</f>
        <v>35000</v>
      </c>
      <c r="W36" s="7" t="str">
        <f ca="1">IFERROR(__xludf.DUMMYFUNCTION("""COMPUTED_VALUE"""),"Dream Reacher")</f>
        <v>Dream Reacher</v>
      </c>
    </row>
    <row r="37" spans="1:23" ht="12.5" x14ac:dyDescent="0.25">
      <c r="A37" s="12" t="s">
        <v>131</v>
      </c>
      <c r="B37" s="12">
        <v>11</v>
      </c>
      <c r="C37" s="12" t="s">
        <v>51</v>
      </c>
      <c r="D37" s="21" t="s">
        <v>835</v>
      </c>
      <c r="E37" s="12" t="s">
        <v>22</v>
      </c>
      <c r="F37" s="12">
        <v>1</v>
      </c>
      <c r="G37" s="14" t="s">
        <v>81</v>
      </c>
      <c r="H37" s="15">
        <v>190000</v>
      </c>
      <c r="I37" s="15">
        <f t="shared" si="0"/>
        <v>190000</v>
      </c>
      <c r="J37" s="13" t="s">
        <v>836</v>
      </c>
      <c r="N37" s="7" t="str">
        <f ca="1">IFERROR(__xludf.DUMMYFUNCTION("""COMPUTED_VALUE"""),"33")</f>
        <v>33</v>
      </c>
      <c r="O37" s="7">
        <f ca="1">IFERROR(__xludf.DUMMYFUNCTION("""COMPUTED_VALUE"""),18)</f>
        <v>18</v>
      </c>
      <c r="P37" s="7" t="str">
        <f ca="1">IFERROR(__xludf.DUMMYFUNCTION("""COMPUTED_VALUE"""),"Stock Dagangan")</f>
        <v>Stock Dagangan</v>
      </c>
      <c r="Q37" s="7" t="str">
        <f ca="1">IFERROR(__xludf.DUMMYFUNCTION("""COMPUTED_VALUE"""),"Botol Minum")</f>
        <v>Botol Minum</v>
      </c>
      <c r="R37" s="7" t="str">
        <f ca="1">IFERROR(__xludf.DUMMYFUNCTION("""COMPUTED_VALUE"""),"Reccuring")</f>
        <v>Reccuring</v>
      </c>
      <c r="S37" s="7">
        <f ca="1">IFERROR(__xludf.DUMMYFUNCTION("""COMPUTED_VALUE"""),1)</f>
        <v>1</v>
      </c>
      <c r="T37" s="16" t="str">
        <f ca="1">IFERROR(__xludf.DUMMYFUNCTION("""COMPUTED_VALUE"""),"paket")</f>
        <v>paket</v>
      </c>
      <c r="U37" s="16">
        <f ca="1">IFERROR(__xludf.DUMMYFUNCTION("""COMPUTED_VALUE"""),240000)</f>
        <v>240000</v>
      </c>
      <c r="V37" s="16">
        <f ca="1">IFERROR(__xludf.DUMMYFUNCTION("""COMPUTED_VALUE"""),240000)</f>
        <v>240000</v>
      </c>
      <c r="W37" s="7" t="str">
        <f ca="1">IFERROR(__xludf.DUMMYFUNCTION("""COMPUTED_VALUE"""),"plannetvenus")</f>
        <v>plannetvenus</v>
      </c>
    </row>
    <row r="38" spans="1:23" ht="12.5" x14ac:dyDescent="0.25">
      <c r="A38" s="12" t="s">
        <v>135</v>
      </c>
      <c r="B38" s="12">
        <v>11</v>
      </c>
      <c r="C38" s="12" t="s">
        <v>51</v>
      </c>
      <c r="D38" s="21" t="s">
        <v>837</v>
      </c>
      <c r="E38" s="12" t="s">
        <v>22</v>
      </c>
      <c r="F38" s="12">
        <v>1</v>
      </c>
      <c r="G38" s="14" t="s">
        <v>81</v>
      </c>
      <c r="H38" s="15">
        <v>350000</v>
      </c>
      <c r="I38" s="15">
        <f t="shared" si="0"/>
        <v>350000</v>
      </c>
      <c r="J38" s="13" t="s">
        <v>838</v>
      </c>
      <c r="N38" s="7" t="str">
        <f ca="1">IFERROR(__xludf.DUMMYFUNCTION("""COMPUTED_VALUE"""),"34")</f>
        <v>34</v>
      </c>
      <c r="O38" s="7">
        <f ca="1">IFERROR(__xludf.DUMMYFUNCTION("""COMPUTED_VALUE"""),18)</f>
        <v>18</v>
      </c>
      <c r="P38" s="7" t="str">
        <f ca="1">IFERROR(__xludf.DUMMYFUNCTION("""COMPUTED_VALUE"""),"Stock Dagangan")</f>
        <v>Stock Dagangan</v>
      </c>
      <c r="Q38" s="7" t="str">
        <f ca="1">IFERROR(__xludf.DUMMYFUNCTION("""COMPUTED_VALUE"""),"Slayer leopard")</f>
        <v>Slayer leopard</v>
      </c>
      <c r="R38" s="7" t="str">
        <f ca="1">IFERROR(__xludf.DUMMYFUNCTION("""COMPUTED_VALUE"""),"Reccuring")</f>
        <v>Reccuring</v>
      </c>
      <c r="S38" s="7">
        <f ca="1">IFERROR(__xludf.DUMMYFUNCTION("""COMPUTED_VALUE"""),1)</f>
        <v>1</v>
      </c>
      <c r="T38" s="16" t="str">
        <f ca="1">IFERROR(__xludf.DUMMYFUNCTION("""COMPUTED_VALUE"""),"paket")</f>
        <v>paket</v>
      </c>
      <c r="U38" s="16">
        <f ca="1">IFERROR(__xludf.DUMMYFUNCTION("""COMPUTED_VALUE"""),80000)</f>
        <v>80000</v>
      </c>
      <c r="V38" s="16">
        <f ca="1">IFERROR(__xludf.DUMMYFUNCTION("""COMPUTED_VALUE"""),80000)</f>
        <v>80000</v>
      </c>
      <c r="W38" s="7" t="str">
        <f ca="1">IFERROR(__xludf.DUMMYFUNCTION("""COMPUTED_VALUE"""),"Indie_Concept")</f>
        <v>Indie_Concept</v>
      </c>
    </row>
    <row r="39" spans="1:23" ht="12.5" x14ac:dyDescent="0.25">
      <c r="A39" s="12" t="s">
        <v>138</v>
      </c>
      <c r="B39" s="12">
        <v>11</v>
      </c>
      <c r="C39" s="12" t="s">
        <v>51</v>
      </c>
      <c r="D39" s="21" t="s">
        <v>839</v>
      </c>
      <c r="E39" s="12" t="s">
        <v>22</v>
      </c>
      <c r="F39" s="12">
        <v>1</v>
      </c>
      <c r="G39" s="14" t="s">
        <v>81</v>
      </c>
      <c r="H39" s="15">
        <v>110000</v>
      </c>
      <c r="I39" s="15">
        <f t="shared" si="0"/>
        <v>110000</v>
      </c>
      <c r="J39" s="13" t="s">
        <v>840</v>
      </c>
      <c r="N39" s="7" t="str">
        <f ca="1">IFERROR(__xludf.DUMMYFUNCTION("""COMPUTED_VALUE"""),"35")</f>
        <v>35</v>
      </c>
      <c r="O39" s="7">
        <f ca="1">IFERROR(__xludf.DUMMYFUNCTION("""COMPUTED_VALUE"""),18)</f>
        <v>18</v>
      </c>
      <c r="P39" s="7" t="str">
        <f ca="1">IFERROR(__xludf.DUMMYFUNCTION("""COMPUTED_VALUE"""),"Stock Dagangan")</f>
        <v>Stock Dagangan</v>
      </c>
      <c r="Q39" s="7" t="str">
        <f ca="1">IFERROR(__xludf.DUMMYFUNCTION("""COMPUTED_VALUE"""),"Jepit bebek")</f>
        <v>Jepit bebek</v>
      </c>
      <c r="R39" s="7" t="str">
        <f ca="1">IFERROR(__xludf.DUMMYFUNCTION("""COMPUTED_VALUE"""),"Reccuring")</f>
        <v>Reccuring</v>
      </c>
      <c r="S39" s="7">
        <f ca="1">IFERROR(__xludf.DUMMYFUNCTION("""COMPUTED_VALUE"""),1)</f>
        <v>1</v>
      </c>
      <c r="T39" s="16" t="str">
        <f ca="1">IFERROR(__xludf.DUMMYFUNCTION("""COMPUTED_VALUE"""),"paket")</f>
        <v>paket</v>
      </c>
      <c r="U39" s="16">
        <f ca="1">IFERROR(__xludf.DUMMYFUNCTION("""COMPUTED_VALUE"""),105000)</f>
        <v>105000</v>
      </c>
      <c r="V39" s="16">
        <f ca="1">IFERROR(__xludf.DUMMYFUNCTION("""COMPUTED_VALUE"""),105000)</f>
        <v>105000</v>
      </c>
      <c r="W39" s="7" t="str">
        <f ca="1">IFERROR(__xludf.DUMMYFUNCTION("""COMPUTED_VALUE"""),"Kidstops")</f>
        <v>Kidstops</v>
      </c>
    </row>
    <row r="40" spans="1:23" ht="12.5" x14ac:dyDescent="0.25">
      <c r="A40" s="12" t="s">
        <v>141</v>
      </c>
      <c r="B40" s="12">
        <v>11</v>
      </c>
      <c r="C40" s="12" t="s">
        <v>51</v>
      </c>
      <c r="D40" s="21" t="s">
        <v>841</v>
      </c>
      <c r="E40" s="12" t="s">
        <v>22</v>
      </c>
      <c r="F40" s="12">
        <v>1</v>
      </c>
      <c r="G40" s="14" t="s">
        <v>81</v>
      </c>
      <c r="H40" s="15">
        <v>170000</v>
      </c>
      <c r="I40" s="15">
        <f t="shared" si="0"/>
        <v>170000</v>
      </c>
      <c r="J40" s="13" t="s">
        <v>842</v>
      </c>
      <c r="N40" s="7" t="str">
        <f ca="1">IFERROR(__xludf.DUMMYFUNCTION("""COMPUTED_VALUE"""),"37")</f>
        <v>37</v>
      </c>
      <c r="O40" s="7">
        <f ca="1">IFERROR(__xludf.DUMMYFUNCTION("""COMPUTED_VALUE"""),24)</f>
        <v>24</v>
      </c>
      <c r="P40" s="7" t="str">
        <f ca="1">IFERROR(__xludf.DUMMYFUNCTION("""COMPUTED_VALUE"""),"Stock Dagangan")</f>
        <v>Stock Dagangan</v>
      </c>
      <c r="Q40" s="7" t="str">
        <f ca="1">IFERROR(__xludf.DUMMYFUNCTION("""COMPUTED_VALUE"""),"Jepit Jepun Rantai ")</f>
        <v xml:space="preserve">Jepit Jepun Rantai </v>
      </c>
      <c r="R40" s="7" t="str">
        <f ca="1">IFERROR(__xludf.DUMMYFUNCTION("""COMPUTED_VALUE"""),"Reccuring")</f>
        <v>Reccuring</v>
      </c>
      <c r="S40" s="7">
        <f ca="1">IFERROR(__xludf.DUMMYFUNCTION("""COMPUTED_VALUE"""),1)</f>
        <v>1</v>
      </c>
      <c r="T40" s="16" t="str">
        <f ca="1">IFERROR(__xludf.DUMMYFUNCTION("""COMPUTED_VALUE"""),"paket")</f>
        <v>paket</v>
      </c>
      <c r="U40" s="16">
        <f ca="1">IFERROR(__xludf.DUMMYFUNCTION("""COMPUTED_VALUE"""),540000)</f>
        <v>540000</v>
      </c>
      <c r="V40" s="16">
        <f ca="1">IFERROR(__xludf.DUMMYFUNCTION("""COMPUTED_VALUE"""),540000)</f>
        <v>540000</v>
      </c>
      <c r="W40" s="7" t="str">
        <f ca="1">IFERROR(__xludf.DUMMYFUNCTION("""COMPUTED_VALUE"""),"Oura Accesories")</f>
        <v>Oura Accesories</v>
      </c>
    </row>
    <row r="41" spans="1:23" ht="12.5" x14ac:dyDescent="0.25">
      <c r="A41" s="12" t="s">
        <v>144</v>
      </c>
      <c r="B41" s="12">
        <v>11</v>
      </c>
      <c r="C41" s="12" t="s">
        <v>51</v>
      </c>
      <c r="D41" s="21" t="s">
        <v>843</v>
      </c>
      <c r="E41" s="12" t="s">
        <v>22</v>
      </c>
      <c r="F41" s="12">
        <v>1</v>
      </c>
      <c r="G41" s="14" t="s">
        <v>81</v>
      </c>
      <c r="H41" s="15">
        <v>200000</v>
      </c>
      <c r="I41" s="15">
        <f t="shared" si="0"/>
        <v>200000</v>
      </c>
      <c r="J41" s="13" t="s">
        <v>844</v>
      </c>
      <c r="N41" s="7" t="str">
        <f ca="1">IFERROR(__xludf.DUMMYFUNCTION("""COMPUTED_VALUE"""),"38")</f>
        <v>38</v>
      </c>
      <c r="O41" s="7">
        <f ca="1">IFERROR(__xludf.DUMMYFUNCTION("""COMPUTED_VALUE"""),25)</f>
        <v>25</v>
      </c>
      <c r="P41" s="7" t="str">
        <f ca="1">IFERROR(__xludf.DUMMYFUNCTION("""COMPUTED_VALUE"""),"Stock Dagangan")</f>
        <v>Stock Dagangan</v>
      </c>
      <c r="Q41" s="7" t="str">
        <f ca="1">IFERROR(__xludf.DUMMYFUNCTION("""COMPUTED_VALUE"""),"Gelang kerang serut manik ")</f>
        <v xml:space="preserve">Gelang kerang serut manik </v>
      </c>
      <c r="R41" s="7" t="str">
        <f ca="1">IFERROR(__xludf.DUMMYFUNCTION("""COMPUTED_VALUE"""),"Reccuring")</f>
        <v>Reccuring</v>
      </c>
      <c r="S41" s="7">
        <f ca="1">IFERROR(__xludf.DUMMYFUNCTION("""COMPUTED_VALUE"""),1)</f>
        <v>1</v>
      </c>
      <c r="T41" s="16" t="str">
        <f ca="1">IFERROR(__xludf.DUMMYFUNCTION("""COMPUTED_VALUE"""),"paket")</f>
        <v>paket</v>
      </c>
      <c r="U41" s="16">
        <f ca="1">IFERROR(__xludf.DUMMYFUNCTION("""COMPUTED_VALUE"""),200000)</f>
        <v>200000</v>
      </c>
      <c r="V41" s="16">
        <f ca="1">IFERROR(__xludf.DUMMYFUNCTION("""COMPUTED_VALUE"""),200000)</f>
        <v>200000</v>
      </c>
      <c r="W41" s="7" t="str">
        <f ca="1">IFERROR(__xludf.DUMMYFUNCTION("""COMPUTED_VALUE"""),"Fairtale acc")</f>
        <v>Fairtale acc</v>
      </c>
    </row>
    <row r="42" spans="1:23" ht="12.5" x14ac:dyDescent="0.25">
      <c r="A42" s="12" t="s">
        <v>147</v>
      </c>
      <c r="B42" s="12">
        <v>11</v>
      </c>
      <c r="C42" s="12" t="s">
        <v>51</v>
      </c>
      <c r="D42" s="21" t="s">
        <v>845</v>
      </c>
      <c r="E42" s="12" t="s">
        <v>22</v>
      </c>
      <c r="F42" s="12">
        <v>1</v>
      </c>
      <c r="G42" s="14" t="s">
        <v>81</v>
      </c>
      <c r="H42" s="15">
        <v>290000</v>
      </c>
      <c r="I42" s="15">
        <f t="shared" si="0"/>
        <v>290000</v>
      </c>
      <c r="J42" s="13" t="s">
        <v>846</v>
      </c>
      <c r="N42" s="7" t="str">
        <f ca="1">IFERROR(__xludf.DUMMYFUNCTION("""COMPUTED_VALUE"""),"39")</f>
        <v>39</v>
      </c>
      <c r="O42" s="7">
        <f ca="1">IFERROR(__xludf.DUMMYFUNCTION("""COMPUTED_VALUE"""),25)</f>
        <v>25</v>
      </c>
      <c r="P42" s="7" t="str">
        <f ca="1">IFERROR(__xludf.DUMMYFUNCTION("""COMPUTED_VALUE"""),"Stock Dagangan")</f>
        <v>Stock Dagangan</v>
      </c>
      <c r="Q42" s="7" t="str">
        <f ca="1">IFERROR(__xludf.DUMMYFUNCTION("""COMPUTED_VALUE"""),"Jepit Jepun")</f>
        <v>Jepit Jepun</v>
      </c>
      <c r="R42" s="7" t="str">
        <f ca="1">IFERROR(__xludf.DUMMYFUNCTION("""COMPUTED_VALUE"""),"Reccuring")</f>
        <v>Reccuring</v>
      </c>
      <c r="S42" s="7">
        <f ca="1">IFERROR(__xludf.DUMMYFUNCTION("""COMPUTED_VALUE"""),1)</f>
        <v>1</v>
      </c>
      <c r="T42" s="16" t="str">
        <f ca="1">IFERROR(__xludf.DUMMYFUNCTION("""COMPUTED_VALUE"""),"paket")</f>
        <v>paket</v>
      </c>
      <c r="U42" s="16">
        <f ca="1">IFERROR(__xludf.DUMMYFUNCTION("""COMPUTED_VALUE"""),325000)</f>
        <v>325000</v>
      </c>
      <c r="V42" s="16">
        <f ca="1">IFERROR(__xludf.DUMMYFUNCTION("""COMPUTED_VALUE"""),325000)</f>
        <v>325000</v>
      </c>
      <c r="W42" s="7" t="str">
        <f ca="1">IFERROR(__xludf.DUMMYFUNCTION("""COMPUTED_VALUE"""),"hlshop")</f>
        <v>hlshop</v>
      </c>
    </row>
    <row r="43" spans="1:23" ht="12.5" x14ac:dyDescent="0.25">
      <c r="A43" s="12" t="s">
        <v>150</v>
      </c>
      <c r="B43" s="12">
        <v>13</v>
      </c>
      <c r="C43" s="12" t="s">
        <v>51</v>
      </c>
      <c r="D43" s="21" t="s">
        <v>847</v>
      </c>
      <c r="E43" s="12" t="s">
        <v>22</v>
      </c>
      <c r="F43" s="12">
        <v>1</v>
      </c>
      <c r="G43" s="14" t="s">
        <v>81</v>
      </c>
      <c r="H43" s="15">
        <v>160000</v>
      </c>
      <c r="I43" s="15">
        <f t="shared" si="0"/>
        <v>160000</v>
      </c>
      <c r="J43" s="13" t="s">
        <v>848</v>
      </c>
      <c r="N43" s="7" t="str">
        <f ca="1">IFERROR(__xludf.DUMMYFUNCTION("""COMPUTED_VALUE"""),"40")</f>
        <v>40</v>
      </c>
      <c r="O43" s="7">
        <f ca="1">IFERROR(__xludf.DUMMYFUNCTION("""COMPUTED_VALUE"""),29)</f>
        <v>29</v>
      </c>
      <c r="P43" s="7" t="str">
        <f ca="1">IFERROR(__xludf.DUMMYFUNCTION("""COMPUTED_VALUE"""),"Stock Dagangan")</f>
        <v>Stock Dagangan</v>
      </c>
      <c r="Q43" s="7" t="str">
        <f ca="1">IFERROR(__xludf.DUMMYFUNCTION("""COMPUTED_VALUE"""),"Blind Pouch")</f>
        <v>Blind Pouch</v>
      </c>
      <c r="R43" s="7" t="str">
        <f ca="1">IFERROR(__xludf.DUMMYFUNCTION("""COMPUTED_VALUE"""),"Reccuring")</f>
        <v>Reccuring</v>
      </c>
      <c r="S43" s="7">
        <f ca="1">IFERROR(__xludf.DUMMYFUNCTION("""COMPUTED_VALUE"""),1)</f>
        <v>1</v>
      </c>
      <c r="T43" s="16" t="str">
        <f ca="1">IFERROR(__xludf.DUMMYFUNCTION("""COMPUTED_VALUE"""),"paket")</f>
        <v>paket</v>
      </c>
      <c r="U43" s="16">
        <f ca="1">IFERROR(__xludf.DUMMYFUNCTION("""COMPUTED_VALUE"""),100000)</f>
        <v>100000</v>
      </c>
      <c r="V43" s="16">
        <f ca="1">IFERROR(__xludf.DUMMYFUNCTION("""COMPUTED_VALUE"""),100000)</f>
        <v>100000</v>
      </c>
      <c r="W43" s="7" t="str">
        <f ca="1">IFERROR(__xludf.DUMMYFUNCTION("""COMPUTED_VALUE"""),"Onlineshopeterpercaya")</f>
        <v>Onlineshopeterpercaya</v>
      </c>
    </row>
    <row r="44" spans="1:23" ht="12.5" x14ac:dyDescent="0.25">
      <c r="A44" s="12" t="s">
        <v>153</v>
      </c>
      <c r="B44" s="12">
        <v>13</v>
      </c>
      <c r="C44" s="12" t="s">
        <v>51</v>
      </c>
      <c r="D44" s="21" t="s">
        <v>849</v>
      </c>
      <c r="E44" s="12" t="s">
        <v>22</v>
      </c>
      <c r="F44" s="12">
        <v>1</v>
      </c>
      <c r="G44" s="14" t="s">
        <v>81</v>
      </c>
      <c r="H44" s="15">
        <v>90000</v>
      </c>
      <c r="I44" s="15">
        <f t="shared" si="0"/>
        <v>90000</v>
      </c>
      <c r="J44" s="13" t="s">
        <v>850</v>
      </c>
      <c r="N44" s="7" t="str">
        <f ca="1">IFERROR(__xludf.DUMMYFUNCTION("""COMPUTED_VALUE"""),"41")</f>
        <v>41</v>
      </c>
      <c r="O44" s="7">
        <f ca="1">IFERROR(__xludf.DUMMYFUNCTION("""COMPUTED_VALUE"""),29)</f>
        <v>29</v>
      </c>
      <c r="P44" s="7" t="str">
        <f ca="1">IFERROR(__xludf.DUMMYFUNCTION("""COMPUTED_VALUE"""),"Stock Dagangan")</f>
        <v>Stock Dagangan</v>
      </c>
      <c r="Q44" s="7" t="str">
        <f ca="1">IFERROR(__xludf.DUMMYFUNCTION("""COMPUTED_VALUE"""),"kawat bulu")</f>
        <v>kawat bulu</v>
      </c>
      <c r="R44" s="7" t="str">
        <f ca="1">IFERROR(__xludf.DUMMYFUNCTION("""COMPUTED_VALUE"""),"Reccuring")</f>
        <v>Reccuring</v>
      </c>
      <c r="S44" s="7">
        <f ca="1">IFERROR(__xludf.DUMMYFUNCTION("""COMPUTED_VALUE"""),1)</f>
        <v>1</v>
      </c>
      <c r="T44" s="16" t="str">
        <f ca="1">IFERROR(__xludf.DUMMYFUNCTION("""COMPUTED_VALUE"""),"paket")</f>
        <v>paket</v>
      </c>
      <c r="U44" s="16">
        <f ca="1">IFERROR(__xludf.DUMMYFUNCTION("""COMPUTED_VALUE"""),280000)</f>
        <v>280000</v>
      </c>
      <c r="V44" s="16">
        <f ca="1">IFERROR(__xludf.DUMMYFUNCTION("""COMPUTED_VALUE"""),280000)</f>
        <v>280000</v>
      </c>
      <c r="W44" s="7" t="str">
        <f ca="1">IFERROR(__xludf.DUMMYFUNCTION("""COMPUTED_VALUE"""),"Pernak pernik surabaya")</f>
        <v>Pernak pernik surabaya</v>
      </c>
    </row>
    <row r="45" spans="1:23" ht="12.5" x14ac:dyDescent="0.25">
      <c r="A45" s="12" t="s">
        <v>156</v>
      </c>
      <c r="B45" s="12">
        <v>13</v>
      </c>
      <c r="C45" s="12" t="s">
        <v>51</v>
      </c>
      <c r="D45" s="21" t="s">
        <v>851</v>
      </c>
      <c r="E45" s="12" t="s">
        <v>22</v>
      </c>
      <c r="F45" s="12">
        <v>1</v>
      </c>
      <c r="G45" s="14" t="s">
        <v>81</v>
      </c>
      <c r="H45" s="15">
        <v>160000</v>
      </c>
      <c r="I45" s="15">
        <f t="shared" si="0"/>
        <v>160000</v>
      </c>
      <c r="J45" s="13" t="s">
        <v>852</v>
      </c>
      <c r="N45" s="7" t="str">
        <f ca="1">IFERROR(__xludf.DUMMYFUNCTION("""COMPUTED_VALUE"""),"42")</f>
        <v>42</v>
      </c>
      <c r="O45" s="7">
        <f ca="1">IFERROR(__xludf.DUMMYFUNCTION("""COMPUTED_VALUE"""),29)</f>
        <v>29</v>
      </c>
      <c r="P45" s="7" t="str">
        <f ca="1">IFERROR(__xludf.DUMMYFUNCTION("""COMPUTED_VALUE"""),"Stock Dagangan")</f>
        <v>Stock Dagangan</v>
      </c>
      <c r="Q45" s="7" t="str">
        <f ca="1">IFERROR(__xludf.DUMMYFUNCTION("""COMPUTED_VALUE"""),"Hair net ")</f>
        <v xml:space="preserve">Hair net </v>
      </c>
      <c r="R45" s="7" t="str">
        <f ca="1">IFERROR(__xludf.DUMMYFUNCTION("""COMPUTED_VALUE"""),"Reccuring")</f>
        <v>Reccuring</v>
      </c>
      <c r="S45" s="7">
        <f ca="1">IFERROR(__xludf.DUMMYFUNCTION("""COMPUTED_VALUE"""),1)</f>
        <v>1</v>
      </c>
      <c r="T45" s="16" t="str">
        <f ca="1">IFERROR(__xludf.DUMMYFUNCTION("""COMPUTED_VALUE"""),"paket")</f>
        <v>paket</v>
      </c>
      <c r="U45" s="16">
        <f ca="1">IFERROR(__xludf.DUMMYFUNCTION("""COMPUTED_VALUE"""),155000)</f>
        <v>155000</v>
      </c>
      <c r="V45" s="16">
        <f ca="1">IFERROR(__xludf.DUMMYFUNCTION("""COMPUTED_VALUE"""),155000)</f>
        <v>155000</v>
      </c>
      <c r="W45" s="7" t="str">
        <f ca="1">IFERROR(__xludf.DUMMYFUNCTION("""COMPUTED_VALUE"""),"Top tok outlet")</f>
        <v>Top tok outlet</v>
      </c>
    </row>
    <row r="46" spans="1:23" ht="12.5" x14ac:dyDescent="0.25">
      <c r="A46" s="12" t="s">
        <v>158</v>
      </c>
      <c r="B46" s="12">
        <v>15</v>
      </c>
      <c r="C46" s="12" t="s">
        <v>51</v>
      </c>
      <c r="D46" s="21" t="s">
        <v>853</v>
      </c>
      <c r="E46" s="12" t="s">
        <v>22</v>
      </c>
      <c r="F46" s="12">
        <v>1</v>
      </c>
      <c r="G46" s="14" t="s">
        <v>81</v>
      </c>
      <c r="H46" s="15">
        <v>540000</v>
      </c>
      <c r="I46" s="15">
        <f t="shared" si="0"/>
        <v>540000</v>
      </c>
      <c r="J46" s="13" t="s">
        <v>854</v>
      </c>
      <c r="N46" s="7" t="str">
        <f ca="1">IFERROR(__xludf.DUMMYFUNCTION("""COMPUTED_VALUE"""),"45")</f>
        <v>45</v>
      </c>
      <c r="O46" s="7">
        <f ca="1">IFERROR(__xludf.DUMMYFUNCTION("""COMPUTED_VALUE"""),30)</f>
        <v>30</v>
      </c>
      <c r="P46" s="7" t="str">
        <f ca="1">IFERROR(__xludf.DUMMYFUNCTION("""COMPUTED_VALUE"""),"Stock Dagangan")</f>
        <v>Stock Dagangan</v>
      </c>
      <c r="Q46" s="7" t="str">
        <f ca="1">IFERROR(__xludf.DUMMYFUNCTION("""COMPUTED_VALUE"""),"Scrunchie")</f>
        <v>Scrunchie</v>
      </c>
      <c r="R46" s="7" t="str">
        <f ca="1">IFERROR(__xludf.DUMMYFUNCTION("""COMPUTED_VALUE"""),"Reccuring")</f>
        <v>Reccuring</v>
      </c>
      <c r="S46" s="7">
        <f ca="1">IFERROR(__xludf.DUMMYFUNCTION("""COMPUTED_VALUE"""),1)</f>
        <v>1</v>
      </c>
      <c r="T46" s="16" t="str">
        <f ca="1">IFERROR(__xludf.DUMMYFUNCTION("""COMPUTED_VALUE"""),"paket")</f>
        <v>paket</v>
      </c>
      <c r="U46" s="16">
        <f ca="1">IFERROR(__xludf.DUMMYFUNCTION("""COMPUTED_VALUE"""),135000)</f>
        <v>135000</v>
      </c>
      <c r="V46" s="16">
        <f ca="1">IFERROR(__xludf.DUMMYFUNCTION("""COMPUTED_VALUE"""),135000)</f>
        <v>135000</v>
      </c>
      <c r="W46" s="7" t="str">
        <f ca="1">IFERROR(__xludf.DUMMYFUNCTION("""COMPUTED_VALUE"""),"Malikabando")</f>
        <v>Malikabando</v>
      </c>
    </row>
    <row r="47" spans="1:23" ht="12.5" x14ac:dyDescent="0.25">
      <c r="A47" s="12" t="s">
        <v>161</v>
      </c>
      <c r="B47" s="12">
        <v>15</v>
      </c>
      <c r="C47" s="12" t="s">
        <v>51</v>
      </c>
      <c r="D47" s="21" t="s">
        <v>855</v>
      </c>
      <c r="E47" s="12" t="s">
        <v>22</v>
      </c>
      <c r="F47" s="12">
        <v>1</v>
      </c>
      <c r="G47" s="14" t="s">
        <v>81</v>
      </c>
      <c r="H47" s="15">
        <v>135000</v>
      </c>
      <c r="I47" s="15">
        <f t="shared" si="0"/>
        <v>135000</v>
      </c>
      <c r="J47" s="13" t="s">
        <v>856</v>
      </c>
      <c r="N47" s="7" t="str">
        <f ca="1">IFERROR(__xludf.DUMMYFUNCTION("""COMPUTED_VALUE"""),"46")</f>
        <v>46</v>
      </c>
      <c r="O47" s="7">
        <f ca="1">IFERROR(__xludf.DUMMYFUNCTION("""COMPUTED_VALUE"""),30)</f>
        <v>30</v>
      </c>
      <c r="P47" s="7" t="str">
        <f ca="1">IFERROR(__xludf.DUMMYFUNCTION("""COMPUTED_VALUE"""),"Stock Dagangan")</f>
        <v>Stock Dagangan</v>
      </c>
      <c r="Q47" s="7" t="str">
        <f ca="1">IFERROR(__xludf.DUMMYFUNCTION("""COMPUTED_VALUE"""),"Blind Pouch")</f>
        <v>Blind Pouch</v>
      </c>
      <c r="R47" s="7" t="str">
        <f ca="1">IFERROR(__xludf.DUMMYFUNCTION("""COMPUTED_VALUE"""),"Reccuring")</f>
        <v>Reccuring</v>
      </c>
      <c r="S47" s="7">
        <f ca="1">IFERROR(__xludf.DUMMYFUNCTION("""COMPUTED_VALUE"""),1)</f>
        <v>1</v>
      </c>
      <c r="T47" s="16" t="str">
        <f ca="1">IFERROR(__xludf.DUMMYFUNCTION("""COMPUTED_VALUE"""),"paket")</f>
        <v>paket</v>
      </c>
      <c r="U47" s="16">
        <f ca="1">IFERROR(__xludf.DUMMYFUNCTION("""COMPUTED_VALUE"""),55000)</f>
        <v>55000</v>
      </c>
      <c r="V47" s="16">
        <f ca="1">IFERROR(__xludf.DUMMYFUNCTION("""COMPUTED_VALUE"""),55000)</f>
        <v>55000</v>
      </c>
      <c r="W47" s="7" t="str">
        <f ca="1">IFERROR(__xludf.DUMMYFUNCTION("""COMPUTED_VALUE"""),"Delvin acc")</f>
        <v>Delvin acc</v>
      </c>
    </row>
    <row r="48" spans="1:23" ht="12.5" x14ac:dyDescent="0.25">
      <c r="A48" s="12">
        <v>29</v>
      </c>
      <c r="B48" s="12">
        <v>15</v>
      </c>
      <c r="C48" s="12" t="s">
        <v>51</v>
      </c>
      <c r="D48" s="21" t="s">
        <v>855</v>
      </c>
      <c r="E48" s="12" t="s">
        <v>22</v>
      </c>
      <c r="F48" s="12">
        <v>1</v>
      </c>
      <c r="G48" s="14" t="s">
        <v>81</v>
      </c>
      <c r="H48" s="15">
        <v>200000</v>
      </c>
      <c r="I48" s="15">
        <f t="shared" si="0"/>
        <v>200000</v>
      </c>
      <c r="J48" s="13" t="s">
        <v>857</v>
      </c>
      <c r="N48" s="7" t="str">
        <f ca="1">IFERROR(__xludf.DUMMYFUNCTION("""COMPUTED_VALUE"""),"47")</f>
        <v>47</v>
      </c>
      <c r="O48" s="7">
        <f ca="1">IFERROR(__xludf.DUMMYFUNCTION("""COMPUTED_VALUE"""),30)</f>
        <v>30</v>
      </c>
      <c r="P48" s="7" t="str">
        <f ca="1">IFERROR(__xludf.DUMMYFUNCTION("""COMPUTED_VALUE"""),"Stock Dagangan")</f>
        <v>Stock Dagangan</v>
      </c>
      <c r="Q48" s="7" t="str">
        <f ca="1">IFERROR(__xludf.DUMMYFUNCTION("""COMPUTED_VALUE"""),"Photocard Case")</f>
        <v>Photocard Case</v>
      </c>
      <c r="R48" s="7" t="str">
        <f ca="1">IFERROR(__xludf.DUMMYFUNCTION("""COMPUTED_VALUE"""),"Reccuring")</f>
        <v>Reccuring</v>
      </c>
      <c r="S48" s="7">
        <f ca="1">IFERROR(__xludf.DUMMYFUNCTION("""COMPUTED_VALUE"""),1)</f>
        <v>1</v>
      </c>
      <c r="T48" s="16" t="str">
        <f ca="1">IFERROR(__xludf.DUMMYFUNCTION("""COMPUTED_VALUE"""),"paket")</f>
        <v>paket</v>
      </c>
      <c r="U48" s="16">
        <f ca="1">IFERROR(__xludf.DUMMYFUNCTION("""COMPUTED_VALUE"""),180000)</f>
        <v>180000</v>
      </c>
      <c r="V48" s="16">
        <f ca="1">IFERROR(__xludf.DUMMYFUNCTION("""COMPUTED_VALUE"""),180000)</f>
        <v>180000</v>
      </c>
      <c r="W48" s="7" t="str">
        <f ca="1">IFERROR(__xludf.DUMMYFUNCTION("""COMPUTED_VALUE"""),"kusbmmi")</f>
        <v>kusbmmi</v>
      </c>
    </row>
    <row r="49" spans="1:23" ht="12.5" x14ac:dyDescent="0.25">
      <c r="A49" s="12" t="s">
        <v>166</v>
      </c>
      <c r="B49" s="12">
        <v>15</v>
      </c>
      <c r="C49" s="12" t="s">
        <v>51</v>
      </c>
      <c r="D49" s="21" t="s">
        <v>576</v>
      </c>
      <c r="E49" s="12" t="s">
        <v>22</v>
      </c>
      <c r="F49" s="12">
        <v>1</v>
      </c>
      <c r="G49" s="14" t="s">
        <v>81</v>
      </c>
      <c r="H49" s="15">
        <v>145000</v>
      </c>
      <c r="I49" s="15">
        <f t="shared" si="0"/>
        <v>145000</v>
      </c>
      <c r="J49" s="13" t="s">
        <v>858</v>
      </c>
      <c r="N49" s="7" t="str">
        <f ca="1">IFERROR(__xludf.DUMMYFUNCTION("""COMPUTED_VALUE"""),"48")</f>
        <v>48</v>
      </c>
      <c r="O49" s="7">
        <f ca="1">IFERROR(__xludf.DUMMYFUNCTION("""COMPUTED_VALUE"""),30)</f>
        <v>30</v>
      </c>
      <c r="P49" s="7" t="str">
        <f ca="1">IFERROR(__xludf.DUMMYFUNCTION("""COMPUTED_VALUE"""),"Stock Dagangan")</f>
        <v>Stock Dagangan</v>
      </c>
      <c r="Q49" s="7" t="str">
        <f ca="1">IFERROR(__xludf.DUMMYFUNCTION("""COMPUTED_VALUE"""),"kartu ucapan")</f>
        <v>kartu ucapan</v>
      </c>
      <c r="R49" s="7" t="str">
        <f ca="1">IFERROR(__xludf.DUMMYFUNCTION("""COMPUTED_VALUE"""),"Reccuring")</f>
        <v>Reccuring</v>
      </c>
      <c r="S49" s="7">
        <f ca="1">IFERROR(__xludf.DUMMYFUNCTION("""COMPUTED_VALUE"""),1)</f>
        <v>1</v>
      </c>
      <c r="T49" s="16" t="str">
        <f ca="1">IFERROR(__xludf.DUMMYFUNCTION("""COMPUTED_VALUE"""),"paket")</f>
        <v>paket</v>
      </c>
      <c r="U49" s="16">
        <f ca="1">IFERROR(__xludf.DUMMYFUNCTION("""COMPUTED_VALUE"""),20000)</f>
        <v>20000</v>
      </c>
      <c r="V49" s="16">
        <f ca="1">IFERROR(__xludf.DUMMYFUNCTION("""COMPUTED_VALUE"""),20000)</f>
        <v>20000</v>
      </c>
      <c r="W49" s="7" t="str">
        <f ca="1">IFERROR(__xludf.DUMMYFUNCTION("""COMPUTED_VALUE"""),"Superkawaii stationery")</f>
        <v>Superkawaii stationery</v>
      </c>
    </row>
    <row r="50" spans="1:23" ht="12.5" x14ac:dyDescent="0.25">
      <c r="A50" s="12" t="s">
        <v>169</v>
      </c>
      <c r="B50" s="12">
        <v>16</v>
      </c>
      <c r="C50" s="12" t="s">
        <v>51</v>
      </c>
      <c r="D50" s="21" t="s">
        <v>101</v>
      </c>
      <c r="E50" s="12" t="s">
        <v>22</v>
      </c>
      <c r="F50" s="12">
        <v>1</v>
      </c>
      <c r="G50" s="14" t="s">
        <v>81</v>
      </c>
      <c r="H50" s="15">
        <v>195000</v>
      </c>
      <c r="I50" s="15">
        <f t="shared" si="0"/>
        <v>195000</v>
      </c>
      <c r="J50" s="13" t="s">
        <v>487</v>
      </c>
      <c r="N50" s="7" t="str">
        <f ca="1">IFERROR(__xludf.DUMMYFUNCTION("""COMPUTED_VALUE"""),"49")</f>
        <v>49</v>
      </c>
      <c r="O50" s="7">
        <f ca="1">IFERROR(__xludf.DUMMYFUNCTION("""COMPUTED_VALUE"""),30)</f>
        <v>30</v>
      </c>
      <c r="P50" s="7" t="str">
        <f ca="1">IFERROR(__xludf.DUMMYFUNCTION("""COMPUTED_VALUE"""),"Stock Dagangan")</f>
        <v>Stock Dagangan</v>
      </c>
      <c r="Q50" s="7" t="str">
        <f ca="1">IFERROR(__xludf.DUMMYFUNCTION("""COMPUTED_VALUE"""),"kaca mata")</f>
        <v>kaca mata</v>
      </c>
      <c r="R50" s="7" t="str">
        <f ca="1">IFERROR(__xludf.DUMMYFUNCTION("""COMPUTED_VALUE"""),"Reccuring")</f>
        <v>Reccuring</v>
      </c>
      <c r="S50" s="7">
        <f ca="1">IFERROR(__xludf.DUMMYFUNCTION("""COMPUTED_VALUE"""),1)</f>
        <v>1</v>
      </c>
      <c r="T50" s="16" t="str">
        <f ca="1">IFERROR(__xludf.DUMMYFUNCTION("""COMPUTED_VALUE"""),"paket")</f>
        <v>paket</v>
      </c>
      <c r="U50" s="16">
        <f ca="1">IFERROR(__xludf.DUMMYFUNCTION("""COMPUTED_VALUE"""),180000)</f>
        <v>180000</v>
      </c>
      <c r="V50" s="16">
        <f ca="1">IFERROR(__xludf.DUMMYFUNCTION("""COMPUTED_VALUE"""),180000)</f>
        <v>180000</v>
      </c>
      <c r="W50" s="7" t="str">
        <f ca="1">IFERROR(__xludf.DUMMYFUNCTION("""COMPUTED_VALUE"""),"Wonderfull glasses")</f>
        <v>Wonderfull glasses</v>
      </c>
    </row>
    <row r="51" spans="1:23" ht="12.5" x14ac:dyDescent="0.25">
      <c r="A51" s="12" t="s">
        <v>171</v>
      </c>
      <c r="B51" s="12">
        <v>16</v>
      </c>
      <c r="C51" s="12" t="s">
        <v>51</v>
      </c>
      <c r="D51" s="21" t="s">
        <v>859</v>
      </c>
      <c r="E51" s="12" t="s">
        <v>22</v>
      </c>
      <c r="F51" s="12">
        <v>1</v>
      </c>
      <c r="G51" s="14" t="s">
        <v>81</v>
      </c>
      <c r="H51" s="15">
        <v>35000</v>
      </c>
      <c r="I51" s="15">
        <f t="shared" si="0"/>
        <v>35000</v>
      </c>
      <c r="J51" s="13" t="s">
        <v>860</v>
      </c>
      <c r="N51" s="7" t="str">
        <f ca="1">IFERROR(__xludf.DUMMYFUNCTION("""COMPUTED_VALUE"""),"50")</f>
        <v>50</v>
      </c>
      <c r="O51" s="7">
        <f ca="1">IFERROR(__xludf.DUMMYFUNCTION("""COMPUTED_VALUE"""),30)</f>
        <v>30</v>
      </c>
      <c r="P51" s="7" t="str">
        <f ca="1">IFERROR(__xludf.DUMMYFUNCTION("""COMPUTED_VALUE"""),"Stock Dagangan")</f>
        <v>Stock Dagangan</v>
      </c>
      <c r="Q51" s="7" t="str">
        <f ca="1">IFERROR(__xludf.DUMMYFUNCTION("""COMPUTED_VALUE"""),"Pembayaran bunga rani")</f>
        <v>Pembayaran bunga rani</v>
      </c>
      <c r="R51" s="7" t="str">
        <f ca="1">IFERROR(__xludf.DUMMYFUNCTION("""COMPUTED_VALUE"""),"Reccuring")</f>
        <v>Reccuring</v>
      </c>
      <c r="S51" s="7">
        <f ca="1">IFERROR(__xludf.DUMMYFUNCTION("""COMPUTED_VALUE"""),1)</f>
        <v>1</v>
      </c>
      <c r="T51" s="16" t="str">
        <f ca="1">IFERROR(__xludf.DUMMYFUNCTION("""COMPUTED_VALUE"""),"bulan ")</f>
        <v xml:space="preserve">bulan </v>
      </c>
      <c r="U51" s="16">
        <f ca="1">IFERROR(__xludf.DUMMYFUNCTION("""COMPUTED_VALUE"""),199000)</f>
        <v>199000</v>
      </c>
      <c r="V51" s="16">
        <f ca="1">IFERROR(__xludf.DUMMYFUNCTION("""COMPUTED_VALUE"""),199000)</f>
        <v>199000</v>
      </c>
      <c r="W51" s="7" t="str">
        <f ca="1">IFERROR(__xludf.DUMMYFUNCTION("""COMPUTED_VALUE"""),"rani")</f>
        <v>rani</v>
      </c>
    </row>
    <row r="52" spans="1:23" ht="12.5" x14ac:dyDescent="0.25">
      <c r="A52" s="12" t="s">
        <v>172</v>
      </c>
      <c r="B52" s="12">
        <v>18</v>
      </c>
      <c r="C52" s="12" t="s">
        <v>51</v>
      </c>
      <c r="D52" s="21" t="s">
        <v>861</v>
      </c>
      <c r="E52" s="12" t="s">
        <v>22</v>
      </c>
      <c r="F52" s="12">
        <v>1</v>
      </c>
      <c r="G52" s="14" t="s">
        <v>81</v>
      </c>
      <c r="H52" s="15">
        <v>240000</v>
      </c>
      <c r="I52" s="15">
        <f t="shared" si="0"/>
        <v>240000</v>
      </c>
      <c r="J52" s="13" t="s">
        <v>168</v>
      </c>
      <c r="N52" s="7" t="str">
        <f ca="1">IFERROR(__xludf.DUMMYFUNCTION("""COMPUTED_VALUE"""),"55")</f>
        <v>55</v>
      </c>
      <c r="O52" s="7">
        <f ca="1">IFERROR(__xludf.DUMMYFUNCTION("""COMPUTED_VALUE"""),30)</f>
        <v>30</v>
      </c>
      <c r="P52" s="7" t="str">
        <f ca="1">IFERROR(__xludf.DUMMYFUNCTION("""COMPUTED_VALUE"""),"Stock Dagangan")</f>
        <v>Stock Dagangan</v>
      </c>
      <c r="Q52" s="7" t="str">
        <f ca="1">IFERROR(__xludf.DUMMYFUNCTION("""COMPUTED_VALUE"""),"pembayaran bunga yuni")</f>
        <v>pembayaran bunga yuni</v>
      </c>
      <c r="R52" s="7" t="str">
        <f ca="1">IFERROR(__xludf.DUMMYFUNCTION("""COMPUTED_VALUE"""),"One Time")</f>
        <v>One Time</v>
      </c>
      <c r="S52" s="7">
        <f ca="1">IFERROR(__xludf.DUMMYFUNCTION("""COMPUTED_VALUE"""),1)</f>
        <v>1</v>
      </c>
      <c r="T52" s="16" t="str">
        <f ca="1">IFERROR(__xludf.DUMMYFUNCTION("""COMPUTED_VALUE"""),"paket")</f>
        <v>paket</v>
      </c>
      <c r="U52" s="16">
        <f ca="1">IFERROR(__xludf.DUMMYFUNCTION("""COMPUTED_VALUE"""),94000)</f>
        <v>94000</v>
      </c>
      <c r="V52" s="16">
        <f ca="1">IFERROR(__xludf.DUMMYFUNCTION("""COMPUTED_VALUE"""),94000)</f>
        <v>94000</v>
      </c>
      <c r="W52" s="7" t="str">
        <f ca="1">IFERROR(__xludf.DUMMYFUNCTION("""COMPUTED_VALUE"""),"yuni")</f>
        <v>yuni</v>
      </c>
    </row>
    <row r="53" spans="1:23" ht="12.5" x14ac:dyDescent="0.25">
      <c r="A53" s="12" t="s">
        <v>175</v>
      </c>
      <c r="B53" s="12">
        <v>18</v>
      </c>
      <c r="C53" s="12" t="s">
        <v>51</v>
      </c>
      <c r="D53" s="21" t="s">
        <v>862</v>
      </c>
      <c r="E53" s="12" t="s">
        <v>22</v>
      </c>
      <c r="F53" s="12">
        <v>1</v>
      </c>
      <c r="G53" s="14" t="s">
        <v>81</v>
      </c>
      <c r="H53" s="15">
        <v>80000</v>
      </c>
      <c r="I53" s="15">
        <f t="shared" si="0"/>
        <v>80000</v>
      </c>
      <c r="J53" s="13" t="s">
        <v>863</v>
      </c>
    </row>
    <row r="54" spans="1:23" ht="12.5" x14ac:dyDescent="0.25">
      <c r="A54" s="12" t="s">
        <v>178</v>
      </c>
      <c r="B54" s="12">
        <v>18</v>
      </c>
      <c r="C54" s="12" t="s">
        <v>51</v>
      </c>
      <c r="D54" s="21" t="s">
        <v>864</v>
      </c>
      <c r="E54" s="12" t="s">
        <v>22</v>
      </c>
      <c r="F54" s="12">
        <v>1</v>
      </c>
      <c r="G54" s="14" t="s">
        <v>81</v>
      </c>
      <c r="H54" s="15">
        <v>105000</v>
      </c>
      <c r="I54" s="15">
        <f t="shared" si="0"/>
        <v>105000</v>
      </c>
      <c r="J54" s="13" t="s">
        <v>865</v>
      </c>
    </row>
    <row r="55" spans="1:23" ht="12.5" x14ac:dyDescent="0.25">
      <c r="A55" s="12" t="s">
        <v>181</v>
      </c>
      <c r="B55" s="12">
        <v>21</v>
      </c>
      <c r="C55" s="12" t="s">
        <v>83</v>
      </c>
      <c r="D55" s="21" t="s">
        <v>866</v>
      </c>
      <c r="E55" s="12" t="s">
        <v>22</v>
      </c>
      <c r="F55" s="12">
        <v>1</v>
      </c>
      <c r="G55" s="14" t="s">
        <v>81</v>
      </c>
      <c r="H55" s="15">
        <v>135000</v>
      </c>
      <c r="I55" s="15">
        <f t="shared" si="0"/>
        <v>135000</v>
      </c>
      <c r="J55" s="13" t="s">
        <v>386</v>
      </c>
    </row>
    <row r="56" spans="1:23" ht="12.5" x14ac:dyDescent="0.25">
      <c r="A56" s="12" t="s">
        <v>183</v>
      </c>
      <c r="B56" s="12">
        <v>24</v>
      </c>
      <c r="C56" s="12" t="s">
        <v>51</v>
      </c>
      <c r="D56" s="21" t="s">
        <v>834</v>
      </c>
      <c r="E56" s="12" t="s">
        <v>22</v>
      </c>
      <c r="F56" s="12">
        <v>1</v>
      </c>
      <c r="G56" s="14" t="s">
        <v>81</v>
      </c>
      <c r="H56" s="15">
        <v>540000</v>
      </c>
      <c r="I56" s="15">
        <f t="shared" si="0"/>
        <v>540000</v>
      </c>
      <c r="J56" s="13" t="s">
        <v>459</v>
      </c>
    </row>
    <row r="57" spans="1:23" ht="12.5" x14ac:dyDescent="0.25">
      <c r="A57" s="12" t="s">
        <v>186</v>
      </c>
      <c r="B57" s="12">
        <v>25</v>
      </c>
      <c r="C57" s="12" t="s">
        <v>51</v>
      </c>
      <c r="D57" s="21" t="s">
        <v>867</v>
      </c>
      <c r="E57" s="12" t="s">
        <v>22</v>
      </c>
      <c r="F57" s="12">
        <v>1</v>
      </c>
      <c r="G57" s="14" t="s">
        <v>81</v>
      </c>
      <c r="H57" s="15">
        <v>200000</v>
      </c>
      <c r="I57" s="15">
        <f t="shared" si="0"/>
        <v>200000</v>
      </c>
      <c r="J57" s="13" t="s">
        <v>868</v>
      </c>
    </row>
    <row r="58" spans="1:23" ht="12.5" x14ac:dyDescent="0.25">
      <c r="A58" s="12" t="s">
        <v>189</v>
      </c>
      <c r="B58" s="12">
        <v>25</v>
      </c>
      <c r="C58" s="12" t="s">
        <v>51</v>
      </c>
      <c r="D58" s="21" t="s">
        <v>353</v>
      </c>
      <c r="E58" s="12" t="s">
        <v>22</v>
      </c>
      <c r="F58" s="12">
        <v>1</v>
      </c>
      <c r="G58" s="14" t="s">
        <v>81</v>
      </c>
      <c r="H58" s="15">
        <v>325000</v>
      </c>
      <c r="I58" s="15">
        <f t="shared" si="0"/>
        <v>325000</v>
      </c>
      <c r="J58" s="13" t="s">
        <v>215</v>
      </c>
    </row>
    <row r="59" spans="1:23" ht="12.5" x14ac:dyDescent="0.25">
      <c r="A59" s="12" t="s">
        <v>191</v>
      </c>
      <c r="B59" s="12">
        <v>29</v>
      </c>
      <c r="C59" s="12" t="s">
        <v>51</v>
      </c>
      <c r="D59" s="21" t="s">
        <v>845</v>
      </c>
      <c r="E59" s="12" t="s">
        <v>22</v>
      </c>
      <c r="F59" s="12">
        <v>1</v>
      </c>
      <c r="G59" s="14" t="s">
        <v>81</v>
      </c>
      <c r="H59" s="15">
        <v>100000</v>
      </c>
      <c r="I59" s="15">
        <f t="shared" si="0"/>
        <v>100000</v>
      </c>
      <c r="J59" s="13" t="s">
        <v>869</v>
      </c>
    </row>
    <row r="60" spans="1:23" ht="12.5" x14ac:dyDescent="0.25">
      <c r="A60" s="12" t="s">
        <v>194</v>
      </c>
      <c r="B60" s="12">
        <v>29</v>
      </c>
      <c r="C60" s="12" t="s">
        <v>51</v>
      </c>
      <c r="D60" s="21" t="s">
        <v>456</v>
      </c>
      <c r="E60" s="12" t="s">
        <v>22</v>
      </c>
      <c r="F60" s="12">
        <v>1</v>
      </c>
      <c r="G60" s="14" t="s">
        <v>81</v>
      </c>
      <c r="H60" s="15">
        <v>280000</v>
      </c>
      <c r="I60" s="15">
        <f t="shared" si="0"/>
        <v>280000</v>
      </c>
      <c r="J60" s="13" t="s">
        <v>870</v>
      </c>
    </row>
    <row r="61" spans="1:23" ht="12.5" x14ac:dyDescent="0.25">
      <c r="A61" s="12" t="s">
        <v>197</v>
      </c>
      <c r="B61" s="12">
        <v>29</v>
      </c>
      <c r="C61" s="12" t="s">
        <v>51</v>
      </c>
      <c r="D61" s="21" t="s">
        <v>871</v>
      </c>
      <c r="E61" s="12" t="s">
        <v>22</v>
      </c>
      <c r="F61" s="12">
        <v>1</v>
      </c>
      <c r="G61" s="14" t="s">
        <v>81</v>
      </c>
      <c r="H61" s="15">
        <v>155000</v>
      </c>
      <c r="I61" s="15">
        <f t="shared" si="0"/>
        <v>155000</v>
      </c>
      <c r="J61" s="13" t="s">
        <v>872</v>
      </c>
    </row>
    <row r="62" spans="1:23" ht="12.5" x14ac:dyDescent="0.25">
      <c r="A62" s="12" t="s">
        <v>199</v>
      </c>
      <c r="B62" s="12">
        <v>29</v>
      </c>
      <c r="C62" s="12" t="s">
        <v>262</v>
      </c>
      <c r="D62" s="21" t="s">
        <v>873</v>
      </c>
      <c r="E62" s="12" t="s">
        <v>68</v>
      </c>
      <c r="F62" s="12">
        <v>1</v>
      </c>
      <c r="G62" s="14" t="s">
        <v>81</v>
      </c>
      <c r="H62" s="15">
        <v>115000</v>
      </c>
      <c r="I62" s="15">
        <f t="shared" si="0"/>
        <v>115000</v>
      </c>
      <c r="J62" s="13" t="s">
        <v>780</v>
      </c>
    </row>
    <row r="63" spans="1:23" ht="12.5" x14ac:dyDescent="0.25">
      <c r="A63" s="12" t="s">
        <v>202</v>
      </c>
      <c r="B63" s="12">
        <v>30</v>
      </c>
      <c r="C63" s="12" t="s">
        <v>83</v>
      </c>
      <c r="D63" s="21" t="s">
        <v>724</v>
      </c>
      <c r="E63" s="12" t="s">
        <v>22</v>
      </c>
      <c r="F63" s="12">
        <v>1</v>
      </c>
      <c r="G63" s="14" t="s">
        <v>81</v>
      </c>
      <c r="H63" s="15">
        <v>170000</v>
      </c>
      <c r="I63" s="15">
        <f t="shared" si="0"/>
        <v>170000</v>
      </c>
      <c r="J63" s="13" t="s">
        <v>725</v>
      </c>
    </row>
    <row r="64" spans="1:23" ht="12.5" x14ac:dyDescent="0.25">
      <c r="A64" s="12" t="s">
        <v>205</v>
      </c>
      <c r="B64" s="12">
        <v>30</v>
      </c>
      <c r="C64" s="12" t="s">
        <v>51</v>
      </c>
      <c r="D64" s="21" t="s">
        <v>90</v>
      </c>
      <c r="E64" s="12" t="s">
        <v>22</v>
      </c>
      <c r="F64" s="12">
        <v>1</v>
      </c>
      <c r="G64" s="14" t="s">
        <v>81</v>
      </c>
      <c r="H64" s="15">
        <v>135000</v>
      </c>
      <c r="I64" s="15">
        <f t="shared" si="0"/>
        <v>135000</v>
      </c>
      <c r="J64" s="13" t="s">
        <v>635</v>
      </c>
    </row>
    <row r="65" spans="1:10" ht="12.5" x14ac:dyDescent="0.25">
      <c r="A65" s="12" t="s">
        <v>207</v>
      </c>
      <c r="B65" s="12">
        <v>30</v>
      </c>
      <c r="C65" s="12" t="s">
        <v>51</v>
      </c>
      <c r="D65" s="21" t="s">
        <v>845</v>
      </c>
      <c r="E65" s="12" t="s">
        <v>22</v>
      </c>
      <c r="F65" s="12">
        <v>1</v>
      </c>
      <c r="G65" s="14" t="s">
        <v>81</v>
      </c>
      <c r="H65" s="15">
        <v>55000</v>
      </c>
      <c r="I65" s="15">
        <f t="shared" si="0"/>
        <v>55000</v>
      </c>
      <c r="J65" s="13" t="s">
        <v>874</v>
      </c>
    </row>
    <row r="66" spans="1:10" ht="12.5" x14ac:dyDescent="0.25">
      <c r="A66" s="12" t="s">
        <v>210</v>
      </c>
      <c r="B66" s="12">
        <v>30</v>
      </c>
      <c r="C66" s="12" t="s">
        <v>51</v>
      </c>
      <c r="D66" s="21" t="s">
        <v>875</v>
      </c>
      <c r="E66" s="12" t="s">
        <v>22</v>
      </c>
      <c r="F66" s="12">
        <v>1</v>
      </c>
      <c r="G66" s="14" t="s">
        <v>81</v>
      </c>
      <c r="H66" s="15">
        <v>180000</v>
      </c>
      <c r="I66" s="15">
        <f t="shared" si="0"/>
        <v>180000</v>
      </c>
      <c r="J66" s="13" t="s">
        <v>876</v>
      </c>
    </row>
    <row r="67" spans="1:10" ht="12.5" x14ac:dyDescent="0.25">
      <c r="A67" s="12" t="s">
        <v>213</v>
      </c>
      <c r="B67" s="12">
        <v>30</v>
      </c>
      <c r="C67" s="12" t="s">
        <v>51</v>
      </c>
      <c r="D67" s="21" t="s">
        <v>877</v>
      </c>
      <c r="E67" s="12" t="s">
        <v>22</v>
      </c>
      <c r="F67" s="12">
        <v>1</v>
      </c>
      <c r="G67" s="14" t="s">
        <v>81</v>
      </c>
      <c r="H67" s="15">
        <v>20000</v>
      </c>
      <c r="I67" s="15">
        <f t="shared" si="0"/>
        <v>20000</v>
      </c>
      <c r="J67" s="13" t="s">
        <v>878</v>
      </c>
    </row>
    <row r="68" spans="1:10" ht="12.5" x14ac:dyDescent="0.25">
      <c r="A68" s="12" t="s">
        <v>216</v>
      </c>
      <c r="B68" s="12">
        <v>30</v>
      </c>
      <c r="C68" s="12" t="s">
        <v>51</v>
      </c>
      <c r="D68" s="21" t="s">
        <v>879</v>
      </c>
      <c r="E68" s="12" t="s">
        <v>22</v>
      </c>
      <c r="F68" s="12">
        <v>1</v>
      </c>
      <c r="G68" s="14" t="s">
        <v>81</v>
      </c>
      <c r="H68" s="15">
        <v>180000</v>
      </c>
      <c r="I68" s="15">
        <f t="shared" si="0"/>
        <v>180000</v>
      </c>
      <c r="J68" s="13" t="s">
        <v>880</v>
      </c>
    </row>
    <row r="69" spans="1:10" ht="12.5" x14ac:dyDescent="0.25">
      <c r="A69" s="12" t="s">
        <v>218</v>
      </c>
      <c r="B69" s="12">
        <v>30</v>
      </c>
      <c r="C69" s="12" t="s">
        <v>51</v>
      </c>
      <c r="D69" s="21" t="s">
        <v>881</v>
      </c>
      <c r="E69" s="12" t="s">
        <v>22</v>
      </c>
      <c r="F69" s="12">
        <v>1</v>
      </c>
      <c r="G69" s="14" t="s">
        <v>23</v>
      </c>
      <c r="H69" s="15">
        <v>199000</v>
      </c>
      <c r="I69" s="15">
        <f t="shared" si="0"/>
        <v>199000</v>
      </c>
      <c r="J69" s="13" t="s">
        <v>882</v>
      </c>
    </row>
    <row r="70" spans="1:10" ht="12.5" x14ac:dyDescent="0.25">
      <c r="A70" s="12" t="s">
        <v>221</v>
      </c>
      <c r="B70" s="12">
        <v>30</v>
      </c>
      <c r="C70" s="12" t="s">
        <v>262</v>
      </c>
      <c r="D70" s="21" t="s">
        <v>883</v>
      </c>
      <c r="E70" s="12" t="s">
        <v>22</v>
      </c>
      <c r="F70" s="12">
        <v>1</v>
      </c>
      <c r="G70" s="14" t="s">
        <v>81</v>
      </c>
      <c r="H70" s="15">
        <v>100000</v>
      </c>
      <c r="I70" s="15">
        <f t="shared" si="0"/>
        <v>100000</v>
      </c>
      <c r="J70" s="13" t="s">
        <v>884</v>
      </c>
    </row>
    <row r="71" spans="1:10" ht="12.5" x14ac:dyDescent="0.25">
      <c r="A71" s="12" t="s">
        <v>224</v>
      </c>
      <c r="B71" s="12">
        <v>30</v>
      </c>
      <c r="C71" s="12" t="s">
        <v>10</v>
      </c>
      <c r="D71" s="21" t="s">
        <v>885</v>
      </c>
      <c r="E71" s="12" t="s">
        <v>68</v>
      </c>
      <c r="F71" s="12">
        <v>1</v>
      </c>
      <c r="G71" s="14" t="s">
        <v>81</v>
      </c>
      <c r="H71" s="15">
        <v>200000</v>
      </c>
      <c r="I71" s="15">
        <f t="shared" si="0"/>
        <v>200000</v>
      </c>
      <c r="J71" s="13" t="s">
        <v>886</v>
      </c>
    </row>
    <row r="72" spans="1:10" ht="12.5" x14ac:dyDescent="0.25">
      <c r="A72" s="12" t="s">
        <v>226</v>
      </c>
      <c r="B72" s="12">
        <v>30</v>
      </c>
      <c r="C72" s="12" t="s">
        <v>10</v>
      </c>
      <c r="D72" s="21" t="s">
        <v>887</v>
      </c>
      <c r="E72" s="12" t="s">
        <v>68</v>
      </c>
      <c r="F72" s="12">
        <v>1</v>
      </c>
      <c r="G72" s="14" t="s">
        <v>81</v>
      </c>
      <c r="H72" s="15">
        <v>60000</v>
      </c>
      <c r="I72" s="15">
        <f t="shared" si="0"/>
        <v>60000</v>
      </c>
      <c r="J72" s="13" t="s">
        <v>888</v>
      </c>
    </row>
    <row r="73" spans="1:10" ht="12.5" x14ac:dyDescent="0.25">
      <c r="A73" s="12" t="s">
        <v>229</v>
      </c>
      <c r="B73" s="12">
        <v>30</v>
      </c>
      <c r="C73" s="12" t="s">
        <v>10</v>
      </c>
      <c r="D73" s="21" t="s">
        <v>889</v>
      </c>
      <c r="E73" s="12" t="s">
        <v>68</v>
      </c>
      <c r="F73" s="12">
        <v>1</v>
      </c>
      <c r="G73" s="14" t="s">
        <v>81</v>
      </c>
      <c r="H73" s="15">
        <v>70000</v>
      </c>
      <c r="I73" s="15">
        <f t="shared" si="0"/>
        <v>70000</v>
      </c>
      <c r="J73" s="13" t="s">
        <v>886</v>
      </c>
    </row>
    <row r="74" spans="1:10" ht="12.5" x14ac:dyDescent="0.25">
      <c r="A74" s="12" t="s">
        <v>232</v>
      </c>
      <c r="B74" s="12">
        <v>30</v>
      </c>
      <c r="C74" s="12" t="s">
        <v>51</v>
      </c>
      <c r="D74" s="21" t="s">
        <v>890</v>
      </c>
      <c r="E74" s="12" t="s">
        <v>68</v>
      </c>
      <c r="F74" s="12">
        <v>1</v>
      </c>
      <c r="G74" s="14" t="s">
        <v>81</v>
      </c>
      <c r="H74" s="15">
        <v>94000</v>
      </c>
      <c r="I74" s="15">
        <f t="shared" si="0"/>
        <v>94000</v>
      </c>
      <c r="J74" s="13" t="s">
        <v>891</v>
      </c>
    </row>
    <row r="75" spans="1:10" ht="12.5" x14ac:dyDescent="0.25">
      <c r="A75" s="12" t="s">
        <v>235</v>
      </c>
      <c r="B75" s="12"/>
      <c r="C75" s="12"/>
      <c r="D75" s="21"/>
      <c r="E75" s="12"/>
      <c r="F75" s="12"/>
      <c r="G75" s="14"/>
      <c r="H75" s="15"/>
      <c r="I75" s="15">
        <f t="shared" si="0"/>
        <v>0</v>
      </c>
      <c r="J75" s="13"/>
    </row>
    <row r="76" spans="1:10" ht="12.5" x14ac:dyDescent="0.25">
      <c r="A76" s="12" t="s">
        <v>238</v>
      </c>
      <c r="B76" s="12"/>
      <c r="C76" s="12"/>
      <c r="D76" s="21"/>
      <c r="E76" s="12"/>
      <c r="F76" s="12"/>
      <c r="G76" s="14"/>
      <c r="H76" s="15"/>
      <c r="I76" s="15">
        <f t="shared" si="0"/>
        <v>0</v>
      </c>
      <c r="J76" s="13"/>
    </row>
    <row r="77" spans="1:10" ht="12.5" x14ac:dyDescent="0.25">
      <c r="A77" s="12" t="s">
        <v>241</v>
      </c>
      <c r="B77" s="12"/>
      <c r="C77" s="12"/>
      <c r="D77" s="21"/>
      <c r="E77" s="12"/>
      <c r="F77" s="12"/>
      <c r="G77" s="14"/>
      <c r="H77" s="15"/>
      <c r="I77" s="15">
        <f t="shared" si="0"/>
        <v>0</v>
      </c>
      <c r="J77" s="13"/>
    </row>
    <row r="78" spans="1:10" ht="12.5" x14ac:dyDescent="0.25">
      <c r="A78" s="12" t="s">
        <v>244</v>
      </c>
      <c r="B78" s="12"/>
      <c r="C78" s="12"/>
      <c r="D78" s="21"/>
      <c r="E78" s="12"/>
      <c r="F78" s="12"/>
      <c r="G78" s="14"/>
      <c r="H78" s="15"/>
      <c r="I78" s="15">
        <f t="shared" si="0"/>
        <v>0</v>
      </c>
      <c r="J78" s="13"/>
    </row>
    <row r="79" spans="1:10" ht="12.5" x14ac:dyDescent="0.25">
      <c r="A79" s="12" t="s">
        <v>247</v>
      </c>
      <c r="B79" s="12"/>
      <c r="C79" s="12"/>
      <c r="D79" s="21"/>
      <c r="E79" s="12"/>
      <c r="F79" s="12"/>
      <c r="G79" s="14"/>
      <c r="H79" s="15"/>
      <c r="I79" s="15">
        <f t="shared" si="0"/>
        <v>0</v>
      </c>
      <c r="J79" s="13"/>
    </row>
    <row r="80" spans="1:10" ht="12.5" x14ac:dyDescent="0.25">
      <c r="A80" s="12" t="s">
        <v>250</v>
      </c>
      <c r="B80" s="12"/>
      <c r="C80" s="12"/>
      <c r="D80" s="21"/>
      <c r="E80" s="12"/>
      <c r="F80" s="12"/>
      <c r="G80" s="14"/>
      <c r="H80" s="15"/>
      <c r="I80" s="15">
        <f t="shared" si="0"/>
        <v>0</v>
      </c>
      <c r="J80" s="13"/>
    </row>
    <row r="81" spans="1:10" ht="12.5" x14ac:dyDescent="0.25">
      <c r="A81" s="12" t="s">
        <v>253</v>
      </c>
      <c r="B81" s="12"/>
      <c r="C81" s="12"/>
      <c r="D81" s="21"/>
      <c r="E81" s="12"/>
      <c r="F81" s="12"/>
      <c r="G81" s="14"/>
      <c r="H81" s="15"/>
      <c r="I81" s="15">
        <f t="shared" si="0"/>
        <v>0</v>
      </c>
      <c r="J81" s="13"/>
    </row>
    <row r="82" spans="1:10" ht="12.5" x14ac:dyDescent="0.25">
      <c r="A82" s="12" t="s">
        <v>256</v>
      </c>
      <c r="B82" s="12"/>
      <c r="C82" s="12"/>
      <c r="D82" s="21"/>
      <c r="E82" s="12"/>
      <c r="F82" s="12"/>
      <c r="G82" s="14"/>
      <c r="H82" s="15"/>
      <c r="I82" s="15">
        <f t="shared" si="0"/>
        <v>0</v>
      </c>
      <c r="J82" s="13"/>
    </row>
    <row r="83" spans="1:10" ht="12.5" x14ac:dyDescent="0.25">
      <c r="A83" s="12" t="s">
        <v>258</v>
      </c>
      <c r="B83" s="12"/>
      <c r="C83" s="12"/>
      <c r="D83" s="21"/>
      <c r="E83" s="12"/>
      <c r="F83" s="12"/>
      <c r="G83" s="14"/>
      <c r="H83" s="15"/>
      <c r="I83" s="15">
        <f t="shared" si="0"/>
        <v>0</v>
      </c>
      <c r="J83" s="13"/>
    </row>
    <row r="84" spans="1:10" ht="12.5" x14ac:dyDescent="0.25">
      <c r="A84" s="12" t="s">
        <v>261</v>
      </c>
      <c r="B84" s="12"/>
      <c r="C84" s="12"/>
      <c r="D84" s="21"/>
      <c r="E84" s="12"/>
      <c r="F84" s="12"/>
      <c r="G84" s="14"/>
      <c r="H84" s="15"/>
      <c r="I84" s="15">
        <f t="shared" si="0"/>
        <v>0</v>
      </c>
      <c r="J84" s="13"/>
    </row>
    <row r="85" spans="1:10" ht="12.5" x14ac:dyDescent="0.25">
      <c r="A85" s="12" t="s">
        <v>265</v>
      </c>
      <c r="B85" s="12"/>
      <c r="C85" s="12"/>
      <c r="D85" s="21"/>
      <c r="E85" s="12"/>
      <c r="F85" s="12"/>
      <c r="G85" s="14"/>
      <c r="H85" s="15"/>
      <c r="I85" s="15">
        <f t="shared" si="0"/>
        <v>0</v>
      </c>
      <c r="J85" s="13"/>
    </row>
    <row r="86" spans="1:10" ht="12.5" x14ac:dyDescent="0.25">
      <c r="A86" s="12" t="s">
        <v>266</v>
      </c>
      <c r="B86" s="12"/>
      <c r="C86" s="12"/>
      <c r="D86" s="21"/>
      <c r="E86" s="12"/>
      <c r="F86" s="12"/>
      <c r="G86" s="14"/>
      <c r="H86" s="15"/>
      <c r="I86" s="15">
        <f t="shared" si="0"/>
        <v>0</v>
      </c>
      <c r="J86" s="13"/>
    </row>
    <row r="87" spans="1:10" ht="12.5" x14ac:dyDescent="0.25">
      <c r="A87" s="12" t="s">
        <v>267</v>
      </c>
      <c r="B87" s="12"/>
      <c r="C87" s="12"/>
      <c r="D87" s="21"/>
      <c r="E87" s="12"/>
      <c r="F87" s="12"/>
      <c r="G87" s="14"/>
      <c r="H87" s="15"/>
      <c r="I87" s="15">
        <f t="shared" si="0"/>
        <v>0</v>
      </c>
      <c r="J87" s="13"/>
    </row>
    <row r="88" spans="1:10" ht="12.5" x14ac:dyDescent="0.25">
      <c r="A88" s="12" t="s">
        <v>268</v>
      </c>
      <c r="B88" s="12"/>
      <c r="C88" s="12"/>
      <c r="D88" s="21"/>
      <c r="E88" s="12"/>
      <c r="F88" s="12"/>
      <c r="G88" s="14"/>
      <c r="H88" s="15"/>
      <c r="I88" s="15">
        <f t="shared" si="0"/>
        <v>0</v>
      </c>
      <c r="J88" s="13"/>
    </row>
    <row r="89" spans="1:10" ht="12.5" x14ac:dyDescent="0.25">
      <c r="A89" s="12" t="s">
        <v>270</v>
      </c>
      <c r="B89" s="12"/>
      <c r="C89" s="12"/>
      <c r="D89" s="21"/>
      <c r="E89" s="12"/>
      <c r="F89" s="12"/>
      <c r="G89" s="14"/>
      <c r="H89" s="15"/>
      <c r="I89" s="15">
        <f t="shared" si="0"/>
        <v>0</v>
      </c>
      <c r="J89" s="13"/>
    </row>
    <row r="90" spans="1:10" ht="12.5" x14ac:dyDescent="0.25">
      <c r="A90" s="12" t="s">
        <v>271</v>
      </c>
      <c r="B90" s="12"/>
      <c r="C90" s="12"/>
      <c r="D90" s="21"/>
      <c r="E90" s="12"/>
      <c r="F90" s="12"/>
      <c r="G90" s="14"/>
      <c r="H90" s="15"/>
      <c r="I90" s="15">
        <f t="shared" si="0"/>
        <v>0</v>
      </c>
      <c r="J90" s="13"/>
    </row>
    <row r="91" spans="1:10" ht="12.5" x14ac:dyDescent="0.25">
      <c r="A91" s="12" t="s">
        <v>272</v>
      </c>
      <c r="B91" s="12"/>
      <c r="C91" s="12"/>
      <c r="D91" s="21"/>
      <c r="E91" s="12"/>
      <c r="F91" s="12"/>
      <c r="G91" s="14"/>
      <c r="H91" s="15"/>
      <c r="I91" s="15">
        <f t="shared" si="0"/>
        <v>0</v>
      </c>
      <c r="J91" s="13"/>
    </row>
    <row r="92" spans="1:10" ht="12.5" x14ac:dyDescent="0.25">
      <c r="A92" s="12" t="s">
        <v>273</v>
      </c>
      <c r="B92" s="12"/>
      <c r="C92" s="12"/>
      <c r="D92" s="13"/>
      <c r="E92" s="12"/>
      <c r="F92" s="12"/>
      <c r="G92" s="14"/>
      <c r="H92" s="15"/>
      <c r="I92" s="15">
        <f t="shared" si="0"/>
        <v>0</v>
      </c>
      <c r="J92" s="13"/>
    </row>
    <row r="93" spans="1:10" ht="12.5" x14ac:dyDescent="0.25">
      <c r="A93" s="12" t="s">
        <v>274</v>
      </c>
      <c r="B93" s="12"/>
      <c r="C93" s="12"/>
      <c r="D93" s="13"/>
      <c r="E93" s="12"/>
      <c r="F93" s="12"/>
      <c r="G93" s="14"/>
      <c r="H93" s="15"/>
      <c r="I93" s="15">
        <f t="shared" si="0"/>
        <v>0</v>
      </c>
      <c r="J93" s="13"/>
    </row>
    <row r="94" spans="1:10" ht="12.5" x14ac:dyDescent="0.25">
      <c r="A94" s="12" t="s">
        <v>275</v>
      </c>
      <c r="B94" s="12"/>
      <c r="C94" s="12"/>
      <c r="D94" s="13"/>
      <c r="E94" s="12"/>
      <c r="F94" s="12"/>
      <c r="G94" s="14"/>
      <c r="H94" s="15"/>
      <c r="I94" s="15">
        <f t="shared" si="0"/>
        <v>0</v>
      </c>
      <c r="J94" s="13"/>
    </row>
    <row r="95" spans="1:10" ht="12.5" x14ac:dyDescent="0.25">
      <c r="A95" s="12" t="s">
        <v>276</v>
      </c>
      <c r="B95" s="12"/>
      <c r="C95" s="12"/>
      <c r="D95" s="13"/>
      <c r="E95" s="12"/>
      <c r="F95" s="12"/>
      <c r="G95" s="14"/>
      <c r="H95" s="15"/>
      <c r="I95" s="15">
        <f t="shared" si="0"/>
        <v>0</v>
      </c>
      <c r="J95" s="13"/>
    </row>
    <row r="96" spans="1:10" ht="12.5" x14ac:dyDescent="0.25">
      <c r="A96" s="12" t="s">
        <v>277</v>
      </c>
      <c r="B96" s="12"/>
      <c r="C96" s="12"/>
      <c r="D96" s="13"/>
      <c r="E96" s="12"/>
      <c r="F96" s="12"/>
      <c r="G96" s="14"/>
      <c r="H96" s="15"/>
      <c r="I96" s="15">
        <f t="shared" si="0"/>
        <v>0</v>
      </c>
      <c r="J96" s="13"/>
    </row>
    <row r="97" spans="1:10" ht="12.5" x14ac:dyDescent="0.25">
      <c r="A97" s="12" t="s">
        <v>278</v>
      </c>
      <c r="B97" s="12"/>
      <c r="C97" s="12"/>
      <c r="D97" s="13"/>
      <c r="E97" s="12"/>
      <c r="F97" s="12"/>
      <c r="G97" s="14"/>
      <c r="H97" s="15"/>
      <c r="I97" s="15">
        <f t="shared" si="0"/>
        <v>0</v>
      </c>
      <c r="J97" s="13"/>
    </row>
    <row r="98" spans="1:10" ht="12.5" x14ac:dyDescent="0.25">
      <c r="A98" s="12" t="s">
        <v>279</v>
      </c>
      <c r="B98" s="12"/>
      <c r="C98" s="12"/>
      <c r="D98" s="13"/>
      <c r="E98" s="12"/>
      <c r="F98" s="12"/>
      <c r="G98" s="14"/>
      <c r="H98" s="15"/>
      <c r="I98" s="15">
        <f t="shared" si="0"/>
        <v>0</v>
      </c>
      <c r="J98" s="14"/>
    </row>
    <row r="99" spans="1:10" ht="12.5" x14ac:dyDescent="0.25">
      <c r="A99" s="12" t="s">
        <v>280</v>
      </c>
      <c r="B99" s="12"/>
      <c r="C99" s="12"/>
      <c r="D99" s="13"/>
      <c r="E99" s="12"/>
      <c r="F99" s="12"/>
      <c r="G99" s="14"/>
      <c r="H99" s="15"/>
      <c r="I99" s="15">
        <f t="shared" si="0"/>
        <v>0</v>
      </c>
      <c r="J99" s="13"/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>
        <f t="shared" si="0"/>
        <v>0</v>
      </c>
      <c r="J100" s="21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>
        <f t="shared" si="0"/>
        <v>0</v>
      </c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>
        <f t="shared" si="0"/>
        <v>0</v>
      </c>
      <c r="J102" s="13"/>
    </row>
    <row r="103" spans="1:10" ht="12.5" x14ac:dyDescent="0.25">
      <c r="A103" s="12">
        <v>84</v>
      </c>
      <c r="B103" s="12"/>
      <c r="C103" s="12"/>
      <c r="D103" s="13"/>
      <c r="E103" s="12"/>
      <c r="F103" s="12"/>
      <c r="G103" s="14"/>
      <c r="H103" s="15"/>
      <c r="I103" s="15">
        <f t="shared" si="0"/>
        <v>0</v>
      </c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>
        <f t="shared" si="0"/>
        <v>0</v>
      </c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0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0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0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0"/>
        <v>0</v>
      </c>
      <c r="J108" s="13"/>
    </row>
    <row r="109" spans="1:10" ht="12.5" x14ac:dyDescent="0.25">
      <c r="A109" s="12"/>
      <c r="B109" s="12"/>
      <c r="C109" s="12"/>
      <c r="D109" s="13"/>
      <c r="E109" s="12"/>
      <c r="F109" s="12"/>
      <c r="G109" s="14"/>
      <c r="H109" s="15"/>
      <c r="I109" s="15">
        <f t="shared" si="0"/>
        <v>0</v>
      </c>
      <c r="J109" s="13"/>
    </row>
    <row r="110" spans="1:10" ht="12.5" x14ac:dyDescent="0.25">
      <c r="A110" s="12"/>
      <c r="B110" s="12"/>
      <c r="C110" s="12"/>
      <c r="D110" s="13"/>
      <c r="E110" s="12"/>
      <c r="F110" s="12"/>
      <c r="G110" s="14"/>
      <c r="H110" s="15"/>
      <c r="I110" s="15">
        <f t="shared" si="0"/>
        <v>0</v>
      </c>
      <c r="J110" s="13"/>
    </row>
    <row r="111" spans="1:10" ht="12.5" x14ac:dyDescent="0.25">
      <c r="A111" s="12"/>
      <c r="B111" s="12"/>
      <c r="C111" s="12"/>
      <c r="D111" s="13"/>
      <c r="E111" s="12"/>
      <c r="F111" s="12"/>
      <c r="G111" s="14"/>
      <c r="H111" s="15"/>
      <c r="I111" s="15">
        <f t="shared" si="0"/>
        <v>0</v>
      </c>
      <c r="J111" s="13"/>
    </row>
    <row r="112" spans="1:10" ht="12.5" x14ac:dyDescent="0.25">
      <c r="A112" s="12"/>
      <c r="B112" s="12"/>
      <c r="C112" s="12"/>
      <c r="D112" s="13"/>
      <c r="E112" s="12"/>
      <c r="F112" s="12"/>
      <c r="G112" s="14"/>
      <c r="H112" s="15"/>
      <c r="I112" s="15">
        <f t="shared" si="0"/>
        <v>0</v>
      </c>
      <c r="J112" s="13"/>
    </row>
    <row r="113" spans="1:10" ht="12.5" x14ac:dyDescent="0.25">
      <c r="A113" s="12"/>
      <c r="B113" s="12"/>
      <c r="C113" s="12"/>
      <c r="D113" s="13"/>
      <c r="E113" s="12"/>
      <c r="F113" s="12"/>
      <c r="G113" s="14"/>
      <c r="H113" s="15"/>
      <c r="I113" s="15">
        <f t="shared" si="0"/>
        <v>0</v>
      </c>
      <c r="J113" s="13"/>
    </row>
    <row r="114" spans="1:10" ht="12.5" x14ac:dyDescent="0.25">
      <c r="A114" s="12"/>
      <c r="B114" s="12"/>
      <c r="C114" s="12"/>
      <c r="D114" s="13"/>
      <c r="E114" s="12"/>
      <c r="F114" s="12"/>
      <c r="G114" s="14"/>
      <c r="H114" s="15"/>
      <c r="I114" s="15">
        <f t="shared" si="0"/>
        <v>0</v>
      </c>
      <c r="J114" s="13"/>
    </row>
    <row r="115" spans="1:10" ht="12.5" x14ac:dyDescent="0.25">
      <c r="A115" s="12"/>
      <c r="B115" s="12"/>
      <c r="C115" s="12"/>
      <c r="D115" s="13"/>
      <c r="E115" s="12"/>
      <c r="F115" s="12"/>
      <c r="G115" s="14"/>
      <c r="H115" s="15"/>
      <c r="I115" s="15">
        <f t="shared" si="0"/>
        <v>0</v>
      </c>
      <c r="J115" s="13"/>
    </row>
    <row r="116" spans="1:10" ht="12.5" x14ac:dyDescent="0.25">
      <c r="A116" s="12"/>
      <c r="B116" s="12"/>
      <c r="C116" s="12"/>
      <c r="D116" s="13"/>
      <c r="E116" s="12"/>
      <c r="F116" s="12"/>
      <c r="G116" s="14"/>
      <c r="H116" s="15"/>
      <c r="I116" s="15">
        <f t="shared" si="0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0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8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3">
    <dataValidation type="list" allowBlank="1" showErrorMessage="1" sqref="E20:E194" xr:uid="{00000000-0002-0000-0800-000000000000}">
      <formula1>"One Time,Reccuring"</formula1>
    </dataValidation>
    <dataValidation type="list" allowBlank="1" showErrorMessage="1" sqref="P18 C20:C34 C37:C194" xr:uid="{00000000-0002-0000-0800-000001000000}">
      <formula1>"Stock Dagangan,Stock Bahan,Operational,Packing,Tenant,Gaji Karyawan,Team,Iklan,Aset Toko"</formula1>
    </dataValidation>
    <dataValidation type="list" allowBlank="1" showErrorMessage="1" sqref="C35:C36" xr:uid="{00000000-0002-0000-0800-000002000000}">
      <formula1>"Stock Dagangan,Stock Bahan,Operational,Packing,Tenant,Gaji Karyawan,Team,Iklan,Aset toko"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155CC"/>
    <outlinePr summaryBelow="0" summaryRight="0"/>
  </sheetPr>
  <dimension ref="A1:Y1009"/>
  <sheetViews>
    <sheetView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Revenue'!AL30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15116302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892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83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15116302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1730000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194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IFERROR(__xludf.DUMMYFUNCTION("filter(A20:J194,C20:C194=P18)"),"20")</f>
        <v>20</v>
      </c>
      <c r="O20" s="7">
        <f ca="1">IFERROR(__xludf.DUMMYFUNCTION("""COMPUTED_VALUE"""),1)</f>
        <v>1</v>
      </c>
      <c r="P20" s="7" t="str">
        <f ca="1">IFERROR(__xludf.DUMMYFUNCTION("""COMPUTED_VALUE"""),"Stock Bahan")</f>
        <v>Stock Bahan</v>
      </c>
      <c r="Q20" s="7" t="str">
        <f ca="1">IFERROR(__xludf.DUMMYFUNCTION("""COMPUTED_VALUE"""),"Manik satria")</f>
        <v>Manik satria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IFERROR(__xludf.DUMMYFUNCTION("""COMPUTED_VALUE"""),"paket")</f>
        <v>paket</v>
      </c>
      <c r="U20" s="17">
        <f ca="1">IFERROR(__xludf.DUMMYFUNCTION("""COMPUTED_VALUE"""),595000)</f>
        <v>595000</v>
      </c>
      <c r="V20" s="17">
        <f ca="1">IFERROR(__xludf.DUMMYFUNCTION("""COMPUTED_VALUE"""),595000)</f>
        <v>595000</v>
      </c>
      <c r="W20" s="7" t="str">
        <f ca="1">IFERROR(__xludf.DUMMYFUNCTION("""COMPUTED_VALUE"""),"toko satria")</f>
        <v>toko satria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IFERROR(__xludf.DUMMYFUNCTION("""COMPUTED_VALUE"""),"32")</f>
        <v>32</v>
      </c>
      <c r="O21" s="7">
        <f ca="1">IFERROR(__xludf.DUMMYFUNCTION("""COMPUTED_VALUE"""),18)</f>
        <v>18</v>
      </c>
      <c r="P21" s="7" t="str">
        <f ca="1">IFERROR(__xludf.DUMMYFUNCTION("""COMPUTED_VALUE"""),"Stock Bahan")</f>
        <v>Stock Bahan</v>
      </c>
      <c r="Q21" s="7" t="str">
        <f ca="1">IFERROR(__xludf.DUMMYFUNCTION("""COMPUTED_VALUE"""),"charm gelang")</f>
        <v>charm gelang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IFERROR(__xludf.DUMMYFUNCTION("""COMPUTED_VALUE"""),"paket")</f>
        <v>paket</v>
      </c>
      <c r="U21" s="17">
        <f ca="1">IFERROR(__xludf.DUMMYFUNCTION("""COMPUTED_VALUE"""),115000)</f>
        <v>115000</v>
      </c>
      <c r="V21" s="17">
        <f ca="1">IFERROR(__xludf.DUMMYFUNCTION("""COMPUTED_VALUE"""),115000)</f>
        <v>115000</v>
      </c>
      <c r="W21" s="7" t="str">
        <f ca="1">IFERROR(__xludf.DUMMYFUNCTION("""COMPUTED_VALUE"""),"Jojo DIY")</f>
        <v>Jojo DIY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IFERROR(__xludf.DUMMYFUNCTION("""COMPUTED_VALUE"""),"33")</f>
        <v>33</v>
      </c>
      <c r="O22" s="7">
        <f ca="1">IFERROR(__xludf.DUMMYFUNCTION("""COMPUTED_VALUE"""),18)</f>
        <v>18</v>
      </c>
      <c r="P22" s="7" t="str">
        <f ca="1">IFERROR(__xludf.DUMMYFUNCTION("""COMPUTED_VALUE"""),"Stock Bahan")</f>
        <v>Stock Bahan</v>
      </c>
      <c r="Q22" s="7" t="str">
        <f ca="1">IFERROR(__xludf.DUMMYFUNCTION("""COMPUTED_VALUE"""),"beads")</f>
        <v>beads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IFERROR(__xludf.DUMMYFUNCTION("""COMPUTED_VALUE"""),"paket")</f>
        <v>paket</v>
      </c>
      <c r="U22" s="17">
        <f ca="1">IFERROR(__xludf.DUMMYFUNCTION("""COMPUTED_VALUE"""),200000)</f>
        <v>200000</v>
      </c>
      <c r="V22" s="17">
        <f ca="1">IFERROR(__xludf.DUMMYFUNCTION("""COMPUTED_VALUE"""),200000)</f>
        <v>200000</v>
      </c>
      <c r="W22" s="7" t="str">
        <f ca="1">IFERROR(__xludf.DUMMYFUNCTION("""COMPUTED_VALUE"""),"chingu")</f>
        <v>chingu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N23" s="7" t="str">
        <f ca="1">IFERROR(__xludf.DUMMYFUNCTION("""COMPUTED_VALUE"""),"34")</f>
        <v>34</v>
      </c>
      <c r="O23" s="7">
        <f ca="1">IFERROR(__xludf.DUMMYFUNCTION("""COMPUTED_VALUE"""),19)</f>
        <v>19</v>
      </c>
      <c r="P23" s="7" t="str">
        <f ca="1">IFERROR(__xludf.DUMMYFUNCTION("""COMPUTED_VALUE"""),"Stock Bahan")</f>
        <v>Stock Bahan</v>
      </c>
      <c r="Q23" s="7" t="str">
        <f ca="1">IFERROR(__xludf.DUMMYFUNCTION("""COMPUTED_VALUE"""),"manik")</f>
        <v>manik</v>
      </c>
      <c r="R23" s="7" t="str">
        <f ca="1">IFERROR(__xludf.DUMMYFUNCTION("""COMPUTED_VALUE"""),"Reccuring")</f>
        <v>Reccuring</v>
      </c>
      <c r="S23" s="7">
        <f ca="1">IFERROR(__xludf.DUMMYFUNCTION("""COMPUTED_VALUE"""),1)</f>
        <v>1</v>
      </c>
      <c r="T23" s="16" t="str">
        <f ca="1">IFERROR(__xludf.DUMMYFUNCTION("""COMPUTED_VALUE"""),"paket")</f>
        <v>paket</v>
      </c>
      <c r="U23" s="17">
        <f ca="1">IFERROR(__xludf.DUMMYFUNCTION("""COMPUTED_VALUE"""),300000)</f>
        <v>300000</v>
      </c>
      <c r="V23" s="17">
        <f ca="1">IFERROR(__xludf.DUMMYFUNCTION("""COMPUTED_VALUE"""),300000)</f>
        <v>300000</v>
      </c>
      <c r="W23" s="7" t="str">
        <f ca="1">IFERROR(__xludf.DUMMYFUNCTION("""COMPUTED_VALUE"""),"helio stitch")</f>
        <v>helio stitch</v>
      </c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N24" s="7" t="str">
        <f ca="1">IFERROR(__xludf.DUMMYFUNCTION("""COMPUTED_VALUE"""),"35")</f>
        <v>35</v>
      </c>
      <c r="O24" s="7">
        <f ca="1">IFERROR(__xludf.DUMMYFUNCTION("""COMPUTED_VALUE"""),20)</f>
        <v>20</v>
      </c>
      <c r="P24" s="7" t="str">
        <f ca="1">IFERROR(__xludf.DUMMYFUNCTION("""COMPUTED_VALUE"""),"Stock Bahan")</f>
        <v>Stock Bahan</v>
      </c>
      <c r="Q24" s="7" t="str">
        <f ca="1">IFERROR(__xludf.DUMMYFUNCTION("""COMPUTED_VALUE"""),"manik")</f>
        <v>manik</v>
      </c>
      <c r="R24" s="7" t="str">
        <f ca="1">IFERROR(__xludf.DUMMYFUNCTION("""COMPUTED_VALUE"""),"Reccuring")</f>
        <v>Reccuring</v>
      </c>
      <c r="S24" s="7">
        <f ca="1">IFERROR(__xludf.DUMMYFUNCTION("""COMPUTED_VALUE"""),1)</f>
        <v>1</v>
      </c>
      <c r="T24" s="16" t="str">
        <f ca="1">IFERROR(__xludf.DUMMYFUNCTION("""COMPUTED_VALUE"""),"paket")</f>
        <v>paket</v>
      </c>
      <c r="U24" s="17">
        <f ca="1">IFERROR(__xludf.DUMMYFUNCTION("""COMPUTED_VALUE"""),175000)</f>
        <v>175000</v>
      </c>
      <c r="V24" s="17">
        <f ca="1">IFERROR(__xludf.DUMMYFUNCTION("""COMPUTED_VALUE"""),175000)</f>
        <v>175000</v>
      </c>
      <c r="W24" s="7" t="str">
        <f ca="1">IFERROR(__xludf.DUMMYFUNCTION("""COMPUTED_VALUE"""),"anda diy")</f>
        <v>anda diy</v>
      </c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N25" s="7" t="str">
        <f ca="1">IFERROR(__xludf.DUMMYFUNCTION("""COMPUTED_VALUE"""),"45")</f>
        <v>45</v>
      </c>
      <c r="O25" s="7">
        <f ca="1">IFERROR(__xludf.DUMMYFUNCTION("""COMPUTED_VALUE"""),25)</f>
        <v>25</v>
      </c>
      <c r="P25" s="7" t="str">
        <f ca="1">IFERROR(__xludf.DUMMYFUNCTION("""COMPUTED_VALUE"""),"Stock Bahan")</f>
        <v>Stock Bahan</v>
      </c>
      <c r="Q25" s="7" t="str">
        <f ca="1">IFERROR(__xludf.DUMMYFUNCTION("""COMPUTED_VALUE"""),"rantai ganci")</f>
        <v>rantai ganci</v>
      </c>
      <c r="R25" s="7" t="str">
        <f ca="1">IFERROR(__xludf.DUMMYFUNCTION("""COMPUTED_VALUE"""),"Reccuring")</f>
        <v>Reccuring</v>
      </c>
      <c r="S25" s="7">
        <f ca="1">IFERROR(__xludf.DUMMYFUNCTION("""COMPUTED_VALUE"""),1)</f>
        <v>1</v>
      </c>
      <c r="T25" s="16" t="str">
        <f ca="1">IFERROR(__xludf.DUMMYFUNCTION("""COMPUTED_VALUE"""),"paket")</f>
        <v>paket</v>
      </c>
      <c r="U25" s="17">
        <f ca="1">IFERROR(__xludf.DUMMYFUNCTION("""COMPUTED_VALUE"""),55000)</f>
        <v>55000</v>
      </c>
      <c r="V25" s="17">
        <f ca="1">IFERROR(__xludf.DUMMYFUNCTION("""COMPUTED_VALUE"""),55000)</f>
        <v>55000</v>
      </c>
      <c r="W25" s="7" t="str">
        <f ca="1">IFERROR(__xludf.DUMMYFUNCTION("""COMPUTED_VALUE"""),"rumah stopper ")</f>
        <v xml:space="preserve">rumah stopper </v>
      </c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120</v>
      </c>
      <c r="E26" s="12" t="s">
        <v>22</v>
      </c>
      <c r="F26" s="12">
        <v>1</v>
      </c>
      <c r="G26" s="14" t="s">
        <v>23</v>
      </c>
      <c r="H26" s="15">
        <v>2100000</v>
      </c>
      <c r="I26" s="15">
        <f t="shared" si="0"/>
        <v>2100000</v>
      </c>
      <c r="J26" s="13" t="s">
        <v>37</v>
      </c>
      <c r="N26" s="7" t="str">
        <f ca="1">IFERROR(__xludf.DUMMYFUNCTION("""COMPUTED_VALUE"""),"46")</f>
        <v>46</v>
      </c>
      <c r="O26" s="7">
        <f ca="1">IFERROR(__xludf.DUMMYFUNCTION("""COMPUTED_VALUE"""),26)</f>
        <v>26</v>
      </c>
      <c r="P26" s="7" t="str">
        <f ca="1">IFERROR(__xludf.DUMMYFUNCTION("""COMPUTED_VALUE"""),"Stock Bahan")</f>
        <v>Stock Bahan</v>
      </c>
      <c r="Q26" s="7" t="str">
        <f ca="1">IFERROR(__xludf.DUMMYFUNCTION("""COMPUTED_VALUE"""),"kaitan gelang")</f>
        <v>kaitan gelang</v>
      </c>
      <c r="R26" s="7" t="str">
        <f ca="1">IFERROR(__xludf.DUMMYFUNCTION("""COMPUTED_VALUE"""),"Reccuring")</f>
        <v>Reccuring</v>
      </c>
      <c r="S26" s="7">
        <f ca="1">IFERROR(__xludf.DUMMYFUNCTION("""COMPUTED_VALUE"""),1)</f>
        <v>1</v>
      </c>
      <c r="T26" s="16" t="str">
        <f ca="1">IFERROR(__xludf.DUMMYFUNCTION("""COMPUTED_VALUE"""),"paket")</f>
        <v>paket</v>
      </c>
      <c r="U26" s="17">
        <f ca="1">IFERROR(__xludf.DUMMYFUNCTION("""COMPUTED_VALUE"""),290000)</f>
        <v>290000</v>
      </c>
      <c r="V26" s="17">
        <f ca="1">IFERROR(__xludf.DUMMYFUNCTION("""COMPUTED_VALUE"""),290000)</f>
        <v>290000</v>
      </c>
      <c r="W26" s="7" t="str">
        <f ca="1">IFERROR(__xludf.DUMMYFUNCTION("""COMPUTED_VALUE"""),"shopetvee")</f>
        <v>shopetvee</v>
      </c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120</v>
      </c>
      <c r="E27" s="12" t="s">
        <v>22</v>
      </c>
      <c r="F27" s="12">
        <v>1</v>
      </c>
      <c r="G27" s="14" t="s">
        <v>23</v>
      </c>
      <c r="H27" s="15">
        <v>2000000</v>
      </c>
      <c r="I27" s="15">
        <f t="shared" si="0"/>
        <v>2000000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4</v>
      </c>
      <c r="G28" s="14" t="s">
        <v>23</v>
      </c>
      <c r="H28" s="15">
        <v>40000</v>
      </c>
      <c r="I28" s="15">
        <f t="shared" si="0"/>
        <v>160000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4</v>
      </c>
      <c r="G29" s="14" t="s">
        <v>23</v>
      </c>
      <c r="H29" s="15">
        <v>50000</v>
      </c>
      <c r="I29" s="15">
        <f t="shared" si="0"/>
        <v>200000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2</v>
      </c>
      <c r="G30" s="14" t="s">
        <v>23</v>
      </c>
      <c r="H30" s="15">
        <v>65000</v>
      </c>
      <c r="I30" s="15">
        <f t="shared" si="0"/>
        <v>130000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1</v>
      </c>
      <c r="C33" s="12" t="s">
        <v>660</v>
      </c>
      <c r="D33" s="21" t="s">
        <v>661</v>
      </c>
      <c r="E33" s="12" t="s">
        <v>22</v>
      </c>
      <c r="F33" s="12">
        <v>1</v>
      </c>
      <c r="G33" s="14" t="s">
        <v>23</v>
      </c>
      <c r="H33" s="15">
        <v>200000</v>
      </c>
      <c r="I33" s="15">
        <f t="shared" si="0"/>
        <v>200000</v>
      </c>
      <c r="J33" s="13" t="s">
        <v>662</v>
      </c>
      <c r="U33" s="18"/>
      <c r="V33" s="18"/>
    </row>
    <row r="34" spans="1:22" ht="12.5" x14ac:dyDescent="0.25">
      <c r="A34" s="12" t="s">
        <v>128</v>
      </c>
      <c r="B34" s="12">
        <v>31</v>
      </c>
      <c r="C34" s="12" t="s">
        <v>51</v>
      </c>
      <c r="D34" s="21" t="s">
        <v>893</v>
      </c>
      <c r="E34" s="12" t="s">
        <v>22</v>
      </c>
      <c r="F34" s="12">
        <v>3</v>
      </c>
      <c r="G34" s="14" t="s">
        <v>894</v>
      </c>
      <c r="H34" s="15">
        <v>150000</v>
      </c>
      <c r="I34" s="15">
        <f t="shared" si="0"/>
        <v>450000</v>
      </c>
      <c r="J34" s="13" t="s">
        <v>895</v>
      </c>
      <c r="U34" s="18"/>
      <c r="V34" s="18"/>
    </row>
    <row r="35" spans="1:22" ht="12.5" x14ac:dyDescent="0.25">
      <c r="A35" s="12" t="s">
        <v>129</v>
      </c>
      <c r="B35" s="12">
        <v>31</v>
      </c>
      <c r="C35" s="12" t="s">
        <v>51</v>
      </c>
      <c r="D35" s="21" t="s">
        <v>896</v>
      </c>
      <c r="E35" s="12" t="s">
        <v>22</v>
      </c>
      <c r="F35" s="12">
        <v>1</v>
      </c>
      <c r="G35" s="14" t="s">
        <v>23</v>
      </c>
      <c r="H35" s="15">
        <v>35000</v>
      </c>
      <c r="I35" s="15">
        <f t="shared" si="0"/>
        <v>35000</v>
      </c>
      <c r="J35" s="13" t="s">
        <v>897</v>
      </c>
      <c r="U35" s="18"/>
      <c r="V35" s="18"/>
    </row>
    <row r="36" spans="1:22" ht="12.5" x14ac:dyDescent="0.25">
      <c r="A36" s="12" t="s">
        <v>130</v>
      </c>
      <c r="B36" s="12">
        <v>31</v>
      </c>
      <c r="C36" s="12" t="s">
        <v>51</v>
      </c>
      <c r="D36" s="21" t="s">
        <v>898</v>
      </c>
      <c r="E36" s="12" t="s">
        <v>22</v>
      </c>
      <c r="F36" s="12">
        <v>1</v>
      </c>
      <c r="G36" s="14" t="s">
        <v>23</v>
      </c>
      <c r="H36" s="15">
        <v>50000</v>
      </c>
      <c r="I36" s="15">
        <f t="shared" si="0"/>
        <v>50000</v>
      </c>
      <c r="J36" s="13" t="s">
        <v>899</v>
      </c>
    </row>
    <row r="37" spans="1:22" ht="12.5" x14ac:dyDescent="0.25">
      <c r="A37" s="12" t="s">
        <v>131</v>
      </c>
      <c r="B37" s="12">
        <v>31</v>
      </c>
      <c r="C37" s="12" t="s">
        <v>51</v>
      </c>
      <c r="D37" s="21" t="s">
        <v>900</v>
      </c>
      <c r="E37" s="12" t="s">
        <v>22</v>
      </c>
      <c r="F37" s="12">
        <v>1</v>
      </c>
      <c r="G37" s="14" t="s">
        <v>23</v>
      </c>
      <c r="H37" s="15">
        <v>84000</v>
      </c>
      <c r="I37" s="15">
        <f t="shared" si="0"/>
        <v>84000</v>
      </c>
      <c r="J37" s="13" t="s">
        <v>882</v>
      </c>
    </row>
    <row r="38" spans="1:22" ht="12.5" x14ac:dyDescent="0.25">
      <c r="A38" s="12" t="s">
        <v>135</v>
      </c>
      <c r="B38" s="12">
        <v>1</v>
      </c>
      <c r="C38" s="12" t="s">
        <v>51</v>
      </c>
      <c r="D38" s="21" t="s">
        <v>901</v>
      </c>
      <c r="E38" s="12" t="s">
        <v>22</v>
      </c>
      <c r="F38" s="12">
        <v>1</v>
      </c>
      <c r="G38" s="14" t="s">
        <v>23</v>
      </c>
      <c r="H38" s="15">
        <v>480000</v>
      </c>
      <c r="I38" s="15">
        <f t="shared" si="0"/>
        <v>480000</v>
      </c>
      <c r="J38" s="13" t="s">
        <v>902</v>
      </c>
    </row>
    <row r="39" spans="1:22" ht="12.5" x14ac:dyDescent="0.25">
      <c r="A39" s="12" t="s">
        <v>138</v>
      </c>
      <c r="B39" s="12">
        <v>1</v>
      </c>
      <c r="C39" s="12" t="s">
        <v>83</v>
      </c>
      <c r="D39" s="21" t="s">
        <v>903</v>
      </c>
      <c r="E39" s="12" t="s">
        <v>22</v>
      </c>
      <c r="F39" s="12">
        <v>1</v>
      </c>
      <c r="G39" s="14" t="s">
        <v>81</v>
      </c>
      <c r="H39" s="15">
        <v>595000</v>
      </c>
      <c r="I39" s="15">
        <f t="shared" si="0"/>
        <v>595000</v>
      </c>
      <c r="J39" s="13" t="s">
        <v>904</v>
      </c>
    </row>
    <row r="40" spans="1:22" ht="12.5" x14ac:dyDescent="0.25">
      <c r="A40" s="12" t="s">
        <v>141</v>
      </c>
      <c r="B40" s="12">
        <v>1</v>
      </c>
      <c r="C40" s="12" t="s">
        <v>51</v>
      </c>
      <c r="D40" s="21" t="s">
        <v>905</v>
      </c>
      <c r="E40" s="12" t="s">
        <v>22</v>
      </c>
      <c r="F40" s="12">
        <v>1</v>
      </c>
      <c r="G40" s="14" t="s">
        <v>81</v>
      </c>
      <c r="H40" s="15">
        <v>109500</v>
      </c>
      <c r="I40" s="15">
        <f t="shared" si="0"/>
        <v>109500</v>
      </c>
      <c r="J40" s="13" t="s">
        <v>906</v>
      </c>
    </row>
    <row r="41" spans="1:22" ht="12.5" x14ac:dyDescent="0.25">
      <c r="A41" s="12" t="s">
        <v>144</v>
      </c>
      <c r="B41" s="12">
        <v>6</v>
      </c>
      <c r="C41" s="12" t="s">
        <v>51</v>
      </c>
      <c r="D41" s="21" t="s">
        <v>907</v>
      </c>
      <c r="E41" s="12" t="s">
        <v>22</v>
      </c>
      <c r="F41" s="12">
        <v>1</v>
      </c>
      <c r="G41" s="14" t="s">
        <v>81</v>
      </c>
      <c r="H41" s="15">
        <v>100000</v>
      </c>
      <c r="I41" s="15">
        <f t="shared" si="0"/>
        <v>100000</v>
      </c>
      <c r="J41" s="13" t="s">
        <v>908</v>
      </c>
    </row>
    <row r="42" spans="1:22" ht="12.5" x14ac:dyDescent="0.25">
      <c r="A42" s="12" t="s">
        <v>147</v>
      </c>
      <c r="B42" s="12">
        <v>1</v>
      </c>
      <c r="C42" s="12" t="s">
        <v>51</v>
      </c>
      <c r="D42" s="21" t="s">
        <v>909</v>
      </c>
      <c r="E42" s="12" t="s">
        <v>22</v>
      </c>
      <c r="F42" s="12">
        <v>1</v>
      </c>
      <c r="G42" s="14" t="s">
        <v>81</v>
      </c>
      <c r="H42" s="15">
        <v>120833</v>
      </c>
      <c r="I42" s="15">
        <f t="shared" si="0"/>
        <v>120833</v>
      </c>
      <c r="J42" s="13" t="s">
        <v>910</v>
      </c>
    </row>
    <row r="43" spans="1:22" ht="12.5" x14ac:dyDescent="0.25">
      <c r="A43" s="12" t="s">
        <v>150</v>
      </c>
      <c r="B43" s="12">
        <v>5</v>
      </c>
      <c r="C43" s="12" t="s">
        <v>10</v>
      </c>
      <c r="D43" s="21" t="s">
        <v>911</v>
      </c>
      <c r="E43" s="12" t="s">
        <v>68</v>
      </c>
      <c r="F43" s="12">
        <v>1</v>
      </c>
      <c r="G43" s="14" t="s">
        <v>81</v>
      </c>
      <c r="H43" s="15">
        <v>288200</v>
      </c>
      <c r="I43" s="15">
        <f t="shared" si="0"/>
        <v>288200</v>
      </c>
      <c r="J43" s="21" t="s">
        <v>912</v>
      </c>
    </row>
    <row r="44" spans="1:22" ht="12.5" x14ac:dyDescent="0.25">
      <c r="A44" s="12" t="s">
        <v>153</v>
      </c>
      <c r="B44" s="12">
        <v>5</v>
      </c>
      <c r="C44" s="12" t="s">
        <v>51</v>
      </c>
      <c r="D44" s="21" t="s">
        <v>913</v>
      </c>
      <c r="E44" s="12" t="s">
        <v>22</v>
      </c>
      <c r="F44" s="12">
        <v>1</v>
      </c>
      <c r="G44" s="14" t="s">
        <v>81</v>
      </c>
      <c r="H44" s="15">
        <v>102276</v>
      </c>
      <c r="I44" s="15">
        <f t="shared" si="0"/>
        <v>102276</v>
      </c>
      <c r="J44" s="13" t="s">
        <v>914</v>
      </c>
    </row>
    <row r="45" spans="1:22" ht="12.5" x14ac:dyDescent="0.25">
      <c r="A45" s="12" t="s">
        <v>156</v>
      </c>
      <c r="B45" s="12">
        <v>6</v>
      </c>
      <c r="C45" s="12" t="s">
        <v>73</v>
      </c>
      <c r="D45" s="21" t="s">
        <v>915</v>
      </c>
      <c r="E45" s="12" t="s">
        <v>22</v>
      </c>
      <c r="F45" s="12">
        <v>1</v>
      </c>
      <c r="G45" s="14" t="s">
        <v>81</v>
      </c>
      <c r="H45" s="15">
        <v>144993</v>
      </c>
      <c r="I45" s="15">
        <f t="shared" si="0"/>
        <v>144993</v>
      </c>
      <c r="J45" s="13" t="s">
        <v>104</v>
      </c>
    </row>
    <row r="46" spans="1:22" ht="12.5" x14ac:dyDescent="0.25">
      <c r="A46" s="12" t="s">
        <v>158</v>
      </c>
      <c r="B46" s="12">
        <v>6</v>
      </c>
      <c r="C46" s="12" t="s">
        <v>51</v>
      </c>
      <c r="D46" s="21" t="s">
        <v>916</v>
      </c>
      <c r="E46" s="12" t="s">
        <v>22</v>
      </c>
      <c r="F46" s="12">
        <v>1</v>
      </c>
      <c r="G46" s="14" t="s">
        <v>81</v>
      </c>
      <c r="H46" s="15">
        <v>340000</v>
      </c>
      <c r="I46" s="15">
        <f t="shared" si="0"/>
        <v>340000</v>
      </c>
      <c r="J46" s="13" t="s">
        <v>917</v>
      </c>
    </row>
    <row r="47" spans="1:22" ht="12.5" x14ac:dyDescent="0.25">
      <c r="A47" s="12" t="s">
        <v>161</v>
      </c>
      <c r="B47" s="12">
        <v>6</v>
      </c>
      <c r="C47" s="12" t="s">
        <v>51</v>
      </c>
      <c r="D47" s="21" t="s">
        <v>918</v>
      </c>
      <c r="E47" s="12" t="s">
        <v>22</v>
      </c>
      <c r="F47" s="12">
        <v>1</v>
      </c>
      <c r="G47" s="14" t="s">
        <v>703</v>
      </c>
      <c r="H47" s="15">
        <v>495000</v>
      </c>
      <c r="I47" s="15">
        <f t="shared" si="0"/>
        <v>495000</v>
      </c>
      <c r="J47" s="13" t="s">
        <v>919</v>
      </c>
    </row>
    <row r="48" spans="1:22" ht="12.5" x14ac:dyDescent="0.25">
      <c r="A48" s="12">
        <v>29</v>
      </c>
      <c r="B48" s="12">
        <v>16</v>
      </c>
      <c r="C48" s="12" t="s">
        <v>51</v>
      </c>
      <c r="D48" s="21" t="s">
        <v>165</v>
      </c>
      <c r="E48" s="12" t="s">
        <v>22</v>
      </c>
      <c r="F48" s="12">
        <v>1</v>
      </c>
      <c r="G48" s="14" t="s">
        <v>81</v>
      </c>
      <c r="H48" s="15">
        <v>520000</v>
      </c>
      <c r="I48" s="15">
        <f t="shared" si="0"/>
        <v>520000</v>
      </c>
      <c r="J48" s="13" t="s">
        <v>920</v>
      </c>
    </row>
    <row r="49" spans="1:10" ht="12.5" x14ac:dyDescent="0.25">
      <c r="A49" s="12" t="s">
        <v>166</v>
      </c>
      <c r="B49" s="12">
        <v>16</v>
      </c>
      <c r="C49" s="12" t="s">
        <v>51</v>
      </c>
      <c r="D49" s="21" t="s">
        <v>921</v>
      </c>
      <c r="E49" s="12" t="s">
        <v>22</v>
      </c>
      <c r="F49" s="12">
        <v>1</v>
      </c>
      <c r="G49" s="14" t="s">
        <v>81</v>
      </c>
      <c r="H49" s="15">
        <v>195000</v>
      </c>
      <c r="I49" s="15">
        <f t="shared" si="0"/>
        <v>195000</v>
      </c>
      <c r="J49" s="13" t="s">
        <v>402</v>
      </c>
    </row>
    <row r="50" spans="1:10" ht="12.5" x14ac:dyDescent="0.25">
      <c r="A50" s="12" t="s">
        <v>169</v>
      </c>
      <c r="B50" s="12">
        <v>17</v>
      </c>
      <c r="C50" s="12" t="s">
        <v>51</v>
      </c>
      <c r="D50" s="21" t="s">
        <v>922</v>
      </c>
      <c r="E50" s="12" t="s">
        <v>22</v>
      </c>
      <c r="F50" s="12">
        <v>1</v>
      </c>
      <c r="G50" s="14" t="s">
        <v>81</v>
      </c>
      <c r="H50" s="15">
        <v>100000</v>
      </c>
      <c r="I50" s="15">
        <f t="shared" si="0"/>
        <v>100000</v>
      </c>
      <c r="J50" s="13" t="s">
        <v>923</v>
      </c>
    </row>
    <row r="51" spans="1:10" ht="12.5" x14ac:dyDescent="0.25">
      <c r="A51" s="12" t="s">
        <v>171</v>
      </c>
      <c r="B51" s="12">
        <v>18</v>
      </c>
      <c r="C51" s="12" t="s">
        <v>83</v>
      </c>
      <c r="D51" s="21" t="s">
        <v>924</v>
      </c>
      <c r="E51" s="12" t="s">
        <v>22</v>
      </c>
      <c r="F51" s="12">
        <v>1</v>
      </c>
      <c r="G51" s="14" t="s">
        <v>81</v>
      </c>
      <c r="H51" s="15">
        <v>115000</v>
      </c>
      <c r="I51" s="15">
        <f t="shared" si="0"/>
        <v>115000</v>
      </c>
      <c r="J51" s="13" t="s">
        <v>925</v>
      </c>
    </row>
    <row r="52" spans="1:10" ht="12.5" x14ac:dyDescent="0.25">
      <c r="A52" s="12" t="s">
        <v>172</v>
      </c>
      <c r="B52" s="12">
        <v>18</v>
      </c>
      <c r="C52" s="12" t="s">
        <v>83</v>
      </c>
      <c r="D52" s="21" t="s">
        <v>926</v>
      </c>
      <c r="E52" s="12" t="s">
        <v>22</v>
      </c>
      <c r="F52" s="12">
        <v>1</v>
      </c>
      <c r="G52" s="14" t="s">
        <v>81</v>
      </c>
      <c r="H52" s="15">
        <v>200000</v>
      </c>
      <c r="I52" s="15">
        <f t="shared" si="0"/>
        <v>200000</v>
      </c>
      <c r="J52" s="13" t="s">
        <v>927</v>
      </c>
    </row>
    <row r="53" spans="1:10" ht="12.5" x14ac:dyDescent="0.25">
      <c r="A53" s="12" t="s">
        <v>175</v>
      </c>
      <c r="B53" s="12">
        <v>19</v>
      </c>
      <c r="C53" s="12" t="s">
        <v>83</v>
      </c>
      <c r="D53" s="21" t="s">
        <v>928</v>
      </c>
      <c r="E53" s="12" t="s">
        <v>22</v>
      </c>
      <c r="F53" s="12">
        <v>1</v>
      </c>
      <c r="G53" s="14" t="s">
        <v>81</v>
      </c>
      <c r="H53" s="15">
        <v>300000</v>
      </c>
      <c r="I53" s="15">
        <f t="shared" si="0"/>
        <v>300000</v>
      </c>
      <c r="J53" s="13" t="s">
        <v>415</v>
      </c>
    </row>
    <row r="54" spans="1:10" ht="12.5" x14ac:dyDescent="0.25">
      <c r="A54" s="12" t="s">
        <v>178</v>
      </c>
      <c r="B54" s="12">
        <v>20</v>
      </c>
      <c r="C54" s="12" t="s">
        <v>83</v>
      </c>
      <c r="D54" s="21" t="s">
        <v>928</v>
      </c>
      <c r="E54" s="12" t="s">
        <v>22</v>
      </c>
      <c r="F54" s="12">
        <v>1</v>
      </c>
      <c r="G54" s="14" t="s">
        <v>81</v>
      </c>
      <c r="H54" s="15">
        <v>175000</v>
      </c>
      <c r="I54" s="15">
        <f t="shared" si="0"/>
        <v>175000</v>
      </c>
      <c r="J54" s="13" t="s">
        <v>929</v>
      </c>
    </row>
    <row r="55" spans="1:10" ht="12.5" x14ac:dyDescent="0.25">
      <c r="A55" s="12" t="s">
        <v>181</v>
      </c>
      <c r="B55" s="12">
        <v>20</v>
      </c>
      <c r="C55" s="12" t="s">
        <v>51</v>
      </c>
      <c r="D55" s="21" t="s">
        <v>930</v>
      </c>
      <c r="E55" s="12" t="s">
        <v>22</v>
      </c>
      <c r="F55" s="12">
        <v>1</v>
      </c>
      <c r="G55" s="14" t="s">
        <v>81</v>
      </c>
      <c r="H55" s="15">
        <v>70000</v>
      </c>
      <c r="I55" s="15">
        <f t="shared" si="0"/>
        <v>70000</v>
      </c>
      <c r="J55" s="13" t="s">
        <v>931</v>
      </c>
    </row>
    <row r="56" spans="1:10" ht="12.5" x14ac:dyDescent="0.25">
      <c r="A56" s="12" t="s">
        <v>183</v>
      </c>
      <c r="B56" s="12">
        <v>22</v>
      </c>
      <c r="C56" s="12" t="s">
        <v>789</v>
      </c>
      <c r="D56" s="21" t="s">
        <v>932</v>
      </c>
      <c r="E56" s="12" t="s">
        <v>22</v>
      </c>
      <c r="F56" s="12">
        <v>1</v>
      </c>
      <c r="G56" s="14" t="s">
        <v>81</v>
      </c>
      <c r="H56" s="15">
        <v>70000</v>
      </c>
      <c r="I56" s="15">
        <f t="shared" si="0"/>
        <v>70000</v>
      </c>
      <c r="J56" s="13" t="s">
        <v>933</v>
      </c>
    </row>
    <row r="57" spans="1:10" ht="12.5" x14ac:dyDescent="0.25">
      <c r="A57" s="12" t="s">
        <v>186</v>
      </c>
      <c r="B57" s="12">
        <v>24</v>
      </c>
      <c r="C57" s="12" t="s">
        <v>51</v>
      </c>
      <c r="D57" s="21" t="s">
        <v>934</v>
      </c>
      <c r="E57" s="12" t="s">
        <v>22</v>
      </c>
      <c r="F57" s="12">
        <v>1</v>
      </c>
      <c r="G57" s="14" t="s">
        <v>81</v>
      </c>
      <c r="H57" s="15">
        <v>140000</v>
      </c>
      <c r="I57" s="15">
        <f t="shared" si="0"/>
        <v>140000</v>
      </c>
      <c r="J57" s="13" t="s">
        <v>935</v>
      </c>
    </row>
    <row r="58" spans="1:10" ht="12.5" x14ac:dyDescent="0.25">
      <c r="A58" s="12" t="s">
        <v>189</v>
      </c>
      <c r="B58" s="12">
        <v>25</v>
      </c>
      <c r="C58" s="12" t="s">
        <v>51</v>
      </c>
      <c r="D58" s="21" t="s">
        <v>936</v>
      </c>
      <c r="E58" s="12" t="s">
        <v>22</v>
      </c>
      <c r="F58" s="12">
        <v>1</v>
      </c>
      <c r="G58" s="14" t="s">
        <v>81</v>
      </c>
      <c r="H58" s="15">
        <v>425000</v>
      </c>
      <c r="I58" s="15">
        <f t="shared" si="0"/>
        <v>425000</v>
      </c>
      <c r="J58" s="13" t="s">
        <v>937</v>
      </c>
    </row>
    <row r="59" spans="1:10" ht="12.5" x14ac:dyDescent="0.25">
      <c r="A59" s="12" t="s">
        <v>191</v>
      </c>
      <c r="B59" s="12">
        <v>25</v>
      </c>
      <c r="C59" s="12" t="s">
        <v>51</v>
      </c>
      <c r="D59" s="21" t="s">
        <v>938</v>
      </c>
      <c r="E59" s="12" t="s">
        <v>22</v>
      </c>
      <c r="F59" s="12">
        <v>1</v>
      </c>
      <c r="G59" s="14" t="s">
        <v>81</v>
      </c>
      <c r="H59" s="15">
        <v>300000</v>
      </c>
      <c r="I59" s="15">
        <f t="shared" si="0"/>
        <v>300000</v>
      </c>
      <c r="J59" s="13" t="s">
        <v>939</v>
      </c>
    </row>
    <row r="60" spans="1:10" ht="12.5" x14ac:dyDescent="0.25">
      <c r="A60" s="12" t="s">
        <v>194</v>
      </c>
      <c r="B60" s="12">
        <v>25</v>
      </c>
      <c r="C60" s="12" t="s">
        <v>51</v>
      </c>
      <c r="D60" s="21" t="s">
        <v>940</v>
      </c>
      <c r="E60" s="12" t="s">
        <v>22</v>
      </c>
      <c r="F60" s="12">
        <v>1</v>
      </c>
      <c r="G60" s="14" t="s">
        <v>81</v>
      </c>
      <c r="H60" s="15">
        <v>75000</v>
      </c>
      <c r="I60" s="15">
        <f t="shared" si="0"/>
        <v>75000</v>
      </c>
      <c r="J60" s="13" t="s">
        <v>941</v>
      </c>
    </row>
    <row r="61" spans="1:10" ht="12.5" x14ac:dyDescent="0.25">
      <c r="A61" s="12" t="s">
        <v>197</v>
      </c>
      <c r="B61" s="12">
        <v>25</v>
      </c>
      <c r="C61" s="12" t="s">
        <v>10</v>
      </c>
      <c r="D61" s="21" t="s">
        <v>942</v>
      </c>
      <c r="E61" s="12" t="s">
        <v>22</v>
      </c>
      <c r="F61" s="12">
        <v>1</v>
      </c>
      <c r="G61" s="14" t="s">
        <v>81</v>
      </c>
      <c r="H61" s="15">
        <v>85000</v>
      </c>
      <c r="I61" s="15">
        <f t="shared" si="0"/>
        <v>85000</v>
      </c>
      <c r="J61" s="13" t="s">
        <v>943</v>
      </c>
    </row>
    <row r="62" spans="1:10" ht="12.5" x14ac:dyDescent="0.25">
      <c r="A62" s="12" t="s">
        <v>199</v>
      </c>
      <c r="B62" s="12">
        <v>25</v>
      </c>
      <c r="C62" s="12" t="s">
        <v>51</v>
      </c>
      <c r="D62" s="21" t="s">
        <v>944</v>
      </c>
      <c r="E62" s="12" t="s">
        <v>22</v>
      </c>
      <c r="F62" s="12">
        <v>1</v>
      </c>
      <c r="G62" s="14" t="s">
        <v>81</v>
      </c>
      <c r="H62" s="15">
        <v>200000</v>
      </c>
      <c r="I62" s="15">
        <f t="shared" si="0"/>
        <v>200000</v>
      </c>
      <c r="J62" s="13" t="s">
        <v>651</v>
      </c>
    </row>
    <row r="63" spans="1:10" ht="12.5" x14ac:dyDescent="0.25">
      <c r="A63" s="12" t="s">
        <v>202</v>
      </c>
      <c r="B63" s="12">
        <v>25</v>
      </c>
      <c r="C63" s="12" t="s">
        <v>51</v>
      </c>
      <c r="D63" s="21" t="s">
        <v>938</v>
      </c>
      <c r="E63" s="12" t="s">
        <v>22</v>
      </c>
      <c r="F63" s="12">
        <v>1</v>
      </c>
      <c r="G63" s="14" t="s">
        <v>81</v>
      </c>
      <c r="H63" s="15">
        <v>200000</v>
      </c>
      <c r="I63" s="15">
        <f t="shared" si="0"/>
        <v>200000</v>
      </c>
      <c r="J63" s="13" t="s">
        <v>945</v>
      </c>
    </row>
    <row r="64" spans="1:10" ht="12.5" x14ac:dyDescent="0.25">
      <c r="A64" s="12" t="s">
        <v>205</v>
      </c>
      <c r="B64" s="12">
        <v>25</v>
      </c>
      <c r="C64" s="12" t="s">
        <v>83</v>
      </c>
      <c r="D64" s="21" t="s">
        <v>946</v>
      </c>
      <c r="E64" s="12" t="s">
        <v>22</v>
      </c>
      <c r="F64" s="12">
        <v>1</v>
      </c>
      <c r="G64" s="14" t="s">
        <v>81</v>
      </c>
      <c r="H64" s="15">
        <v>55000</v>
      </c>
      <c r="I64" s="15">
        <f t="shared" si="0"/>
        <v>55000</v>
      </c>
      <c r="J64" s="13" t="s">
        <v>947</v>
      </c>
    </row>
    <row r="65" spans="1:10" ht="12.5" x14ac:dyDescent="0.25">
      <c r="A65" s="12" t="s">
        <v>207</v>
      </c>
      <c r="B65" s="12">
        <v>26</v>
      </c>
      <c r="C65" s="12" t="s">
        <v>83</v>
      </c>
      <c r="D65" s="21" t="s">
        <v>948</v>
      </c>
      <c r="E65" s="12" t="s">
        <v>22</v>
      </c>
      <c r="F65" s="12">
        <v>1</v>
      </c>
      <c r="G65" s="14" t="s">
        <v>81</v>
      </c>
      <c r="H65" s="15">
        <v>290000</v>
      </c>
      <c r="I65" s="15">
        <f t="shared" si="0"/>
        <v>290000</v>
      </c>
      <c r="J65" s="13" t="s">
        <v>106</v>
      </c>
    </row>
    <row r="66" spans="1:10" ht="12.5" x14ac:dyDescent="0.25">
      <c r="A66" s="12" t="s">
        <v>210</v>
      </c>
      <c r="B66" s="12">
        <v>26</v>
      </c>
      <c r="C66" s="12" t="s">
        <v>51</v>
      </c>
      <c r="D66" s="21" t="s">
        <v>949</v>
      </c>
      <c r="E66" s="12" t="s">
        <v>22</v>
      </c>
      <c r="F66" s="12">
        <v>1</v>
      </c>
      <c r="G66" s="14" t="s">
        <v>81</v>
      </c>
      <c r="H66" s="15">
        <v>80000</v>
      </c>
      <c r="I66" s="15">
        <f t="shared" si="0"/>
        <v>80000</v>
      </c>
      <c r="J66" s="13" t="s">
        <v>950</v>
      </c>
    </row>
    <row r="67" spans="1:10" ht="12.5" x14ac:dyDescent="0.25">
      <c r="A67" s="12" t="s">
        <v>213</v>
      </c>
      <c r="B67" s="12">
        <v>26</v>
      </c>
      <c r="C67" s="12" t="s">
        <v>51</v>
      </c>
      <c r="D67" s="21" t="s">
        <v>951</v>
      </c>
      <c r="E67" s="12" t="s">
        <v>22</v>
      </c>
      <c r="F67" s="12">
        <v>1</v>
      </c>
      <c r="G67" s="14" t="s">
        <v>703</v>
      </c>
      <c r="H67" s="15">
        <v>120000</v>
      </c>
      <c r="I67" s="15">
        <f t="shared" si="0"/>
        <v>120000</v>
      </c>
      <c r="J67" s="13" t="s">
        <v>215</v>
      </c>
    </row>
    <row r="68" spans="1:10" ht="12.5" x14ac:dyDescent="0.25">
      <c r="A68" s="12" t="s">
        <v>216</v>
      </c>
      <c r="B68" s="12">
        <v>27</v>
      </c>
      <c r="C68" s="12" t="s">
        <v>51</v>
      </c>
      <c r="D68" s="21" t="s">
        <v>952</v>
      </c>
      <c r="E68" s="12" t="s">
        <v>22</v>
      </c>
      <c r="F68" s="12">
        <v>1</v>
      </c>
      <c r="G68" s="14" t="s">
        <v>81</v>
      </c>
      <c r="H68" s="15">
        <v>70000</v>
      </c>
      <c r="I68" s="15">
        <f t="shared" si="0"/>
        <v>70000</v>
      </c>
      <c r="J68" s="13" t="s">
        <v>953</v>
      </c>
    </row>
    <row r="69" spans="1:10" ht="12.5" x14ac:dyDescent="0.25">
      <c r="A69" s="12" t="s">
        <v>218</v>
      </c>
      <c r="B69" s="12">
        <v>27</v>
      </c>
      <c r="C69" s="12" t="s">
        <v>51</v>
      </c>
      <c r="D69" s="21" t="s">
        <v>954</v>
      </c>
      <c r="E69" s="12" t="s">
        <v>22</v>
      </c>
      <c r="F69" s="12">
        <v>1</v>
      </c>
      <c r="G69" s="14" t="s">
        <v>81</v>
      </c>
      <c r="H69" s="15">
        <v>90000</v>
      </c>
      <c r="I69" s="15">
        <f t="shared" si="0"/>
        <v>90000</v>
      </c>
      <c r="J69" s="13" t="s">
        <v>955</v>
      </c>
    </row>
    <row r="70" spans="1:10" ht="12.5" x14ac:dyDescent="0.25">
      <c r="A70" s="12" t="s">
        <v>221</v>
      </c>
      <c r="B70" s="12">
        <v>27</v>
      </c>
      <c r="C70" s="12" t="s">
        <v>51</v>
      </c>
      <c r="D70" s="21" t="s">
        <v>956</v>
      </c>
      <c r="E70" s="12" t="s">
        <v>22</v>
      </c>
      <c r="F70" s="12">
        <v>1</v>
      </c>
      <c r="G70" s="14" t="s">
        <v>81</v>
      </c>
      <c r="H70" s="15">
        <v>50000</v>
      </c>
      <c r="I70" s="15">
        <f t="shared" si="0"/>
        <v>50000</v>
      </c>
      <c r="J70" s="13" t="s">
        <v>957</v>
      </c>
    </row>
    <row r="71" spans="1:10" ht="12.5" x14ac:dyDescent="0.25">
      <c r="A71" s="12" t="s">
        <v>224</v>
      </c>
      <c r="B71" s="12"/>
      <c r="C71" s="12"/>
      <c r="D71" s="21"/>
      <c r="E71" s="12"/>
      <c r="F71" s="12"/>
      <c r="G71" s="14"/>
      <c r="H71" s="15"/>
      <c r="I71" s="15">
        <f t="shared" si="0"/>
        <v>0</v>
      </c>
      <c r="J71" s="13"/>
    </row>
    <row r="72" spans="1:10" ht="12.5" x14ac:dyDescent="0.25">
      <c r="A72" s="12" t="s">
        <v>226</v>
      </c>
      <c r="B72" s="12"/>
      <c r="C72" s="12"/>
      <c r="D72" s="21"/>
      <c r="E72" s="12"/>
      <c r="F72" s="12"/>
      <c r="G72" s="14"/>
      <c r="H72" s="15"/>
      <c r="I72" s="15">
        <f t="shared" si="0"/>
        <v>0</v>
      </c>
      <c r="J72" s="13"/>
    </row>
    <row r="73" spans="1:10" ht="12.5" x14ac:dyDescent="0.25">
      <c r="A73" s="12" t="s">
        <v>229</v>
      </c>
      <c r="B73" s="12"/>
      <c r="C73" s="12"/>
      <c r="D73" s="21"/>
      <c r="E73" s="12"/>
      <c r="F73" s="12"/>
      <c r="G73" s="14"/>
      <c r="H73" s="15"/>
      <c r="I73" s="15">
        <f t="shared" si="0"/>
        <v>0</v>
      </c>
      <c r="J73" s="13"/>
    </row>
    <row r="74" spans="1:10" ht="12.5" x14ac:dyDescent="0.25">
      <c r="A74" s="12" t="s">
        <v>232</v>
      </c>
      <c r="B74" s="12"/>
      <c r="C74" s="12"/>
      <c r="D74" s="21"/>
      <c r="E74" s="12"/>
      <c r="F74" s="12"/>
      <c r="G74" s="14"/>
      <c r="H74" s="15"/>
      <c r="I74" s="15">
        <f t="shared" si="0"/>
        <v>0</v>
      </c>
      <c r="J74" s="13"/>
    </row>
    <row r="75" spans="1:10" ht="12.5" x14ac:dyDescent="0.25">
      <c r="A75" s="12" t="s">
        <v>235</v>
      </c>
      <c r="B75" s="12"/>
      <c r="C75" s="12"/>
      <c r="D75" s="21"/>
      <c r="E75" s="12"/>
      <c r="F75" s="12"/>
      <c r="G75" s="14"/>
      <c r="H75" s="15"/>
      <c r="I75" s="15">
        <f t="shared" si="0"/>
        <v>0</v>
      </c>
      <c r="J75" s="13"/>
    </row>
    <row r="76" spans="1:10" ht="12.5" x14ac:dyDescent="0.25">
      <c r="A76" s="12" t="s">
        <v>238</v>
      </c>
      <c r="B76" s="12"/>
      <c r="C76" s="12"/>
      <c r="D76" s="21"/>
      <c r="E76" s="12"/>
      <c r="F76" s="12"/>
      <c r="G76" s="14"/>
      <c r="H76" s="15"/>
      <c r="I76" s="15">
        <f t="shared" si="0"/>
        <v>0</v>
      </c>
      <c r="J76" s="13"/>
    </row>
    <row r="77" spans="1:10" ht="12.5" x14ac:dyDescent="0.25">
      <c r="A77" s="12" t="s">
        <v>241</v>
      </c>
      <c r="B77" s="12"/>
      <c r="C77" s="12"/>
      <c r="D77" s="21"/>
      <c r="E77" s="12"/>
      <c r="F77" s="12"/>
      <c r="G77" s="14"/>
      <c r="H77" s="15"/>
      <c r="I77" s="15">
        <f t="shared" si="0"/>
        <v>0</v>
      </c>
      <c r="J77" s="13"/>
    </row>
    <row r="78" spans="1:10" ht="12.5" x14ac:dyDescent="0.25">
      <c r="A78" s="12" t="s">
        <v>244</v>
      </c>
      <c r="B78" s="12"/>
      <c r="C78" s="12"/>
      <c r="D78" s="21"/>
      <c r="E78" s="12"/>
      <c r="F78" s="12"/>
      <c r="G78" s="14"/>
      <c r="H78" s="15"/>
      <c r="I78" s="15">
        <f t="shared" si="0"/>
        <v>0</v>
      </c>
      <c r="J78" s="13"/>
    </row>
    <row r="79" spans="1:10" ht="12.5" x14ac:dyDescent="0.25">
      <c r="A79" s="12" t="s">
        <v>247</v>
      </c>
      <c r="B79" s="12"/>
      <c r="C79" s="12"/>
      <c r="D79" s="21"/>
      <c r="E79" s="12"/>
      <c r="F79" s="12"/>
      <c r="G79" s="14"/>
      <c r="H79" s="15"/>
      <c r="I79" s="15">
        <f t="shared" si="0"/>
        <v>0</v>
      </c>
      <c r="J79" s="13"/>
    </row>
    <row r="80" spans="1:10" ht="12.5" x14ac:dyDescent="0.25">
      <c r="A80" s="12" t="s">
        <v>250</v>
      </c>
      <c r="B80" s="12"/>
      <c r="C80" s="12"/>
      <c r="D80" s="21"/>
      <c r="E80" s="12"/>
      <c r="F80" s="12"/>
      <c r="G80" s="14"/>
      <c r="H80" s="15"/>
      <c r="I80" s="15">
        <f t="shared" si="0"/>
        <v>0</v>
      </c>
      <c r="J80" s="13"/>
    </row>
    <row r="81" spans="1:10" ht="12.5" x14ac:dyDescent="0.25">
      <c r="A81" s="12" t="s">
        <v>253</v>
      </c>
      <c r="B81" s="12"/>
      <c r="C81" s="12"/>
      <c r="D81" s="21"/>
      <c r="E81" s="12"/>
      <c r="F81" s="12"/>
      <c r="G81" s="14"/>
      <c r="H81" s="15"/>
      <c r="I81" s="15">
        <f t="shared" si="0"/>
        <v>0</v>
      </c>
      <c r="J81" s="13"/>
    </row>
    <row r="82" spans="1:10" ht="12.5" x14ac:dyDescent="0.25">
      <c r="A82" s="12" t="s">
        <v>256</v>
      </c>
      <c r="B82" s="12"/>
      <c r="C82" s="12"/>
      <c r="D82" s="21"/>
      <c r="E82" s="12"/>
      <c r="F82" s="12"/>
      <c r="G82" s="14"/>
      <c r="H82" s="15"/>
      <c r="I82" s="15">
        <f t="shared" si="0"/>
        <v>0</v>
      </c>
      <c r="J82" s="13"/>
    </row>
    <row r="83" spans="1:10" ht="12.5" x14ac:dyDescent="0.25">
      <c r="A83" s="12" t="s">
        <v>258</v>
      </c>
      <c r="B83" s="12"/>
      <c r="C83" s="12"/>
      <c r="D83" s="21"/>
      <c r="E83" s="12"/>
      <c r="F83" s="12"/>
      <c r="G83" s="14"/>
      <c r="H83" s="15"/>
      <c r="I83" s="15">
        <f t="shared" si="0"/>
        <v>0</v>
      </c>
      <c r="J83" s="13"/>
    </row>
    <row r="84" spans="1:10" ht="12.5" x14ac:dyDescent="0.25">
      <c r="A84" s="12" t="s">
        <v>261</v>
      </c>
      <c r="B84" s="12"/>
      <c r="C84" s="12"/>
      <c r="D84" s="21"/>
      <c r="E84" s="12"/>
      <c r="F84" s="12"/>
      <c r="G84" s="14"/>
      <c r="H84" s="15"/>
      <c r="I84" s="15">
        <f t="shared" si="0"/>
        <v>0</v>
      </c>
      <c r="J84" s="13"/>
    </row>
    <row r="85" spans="1:10" ht="12.5" x14ac:dyDescent="0.25">
      <c r="A85" s="12" t="s">
        <v>265</v>
      </c>
      <c r="B85" s="12"/>
      <c r="C85" s="12"/>
      <c r="D85" s="21"/>
      <c r="E85" s="12"/>
      <c r="F85" s="12"/>
      <c r="G85" s="14"/>
      <c r="H85" s="15"/>
      <c r="I85" s="15">
        <f t="shared" si="0"/>
        <v>0</v>
      </c>
      <c r="J85" s="13"/>
    </row>
    <row r="86" spans="1:10" ht="12.5" x14ac:dyDescent="0.25">
      <c r="A86" s="12" t="s">
        <v>266</v>
      </c>
      <c r="B86" s="12"/>
      <c r="C86" s="12"/>
      <c r="D86" s="21"/>
      <c r="E86" s="12"/>
      <c r="F86" s="12"/>
      <c r="G86" s="14"/>
      <c r="H86" s="15"/>
      <c r="I86" s="15">
        <f t="shared" si="0"/>
        <v>0</v>
      </c>
      <c r="J86" s="13"/>
    </row>
    <row r="87" spans="1:10" ht="12.5" x14ac:dyDescent="0.25">
      <c r="A87" s="12" t="s">
        <v>267</v>
      </c>
      <c r="B87" s="12"/>
      <c r="C87" s="12"/>
      <c r="D87" s="21"/>
      <c r="E87" s="12"/>
      <c r="F87" s="12"/>
      <c r="G87" s="14"/>
      <c r="H87" s="15"/>
      <c r="I87" s="15">
        <f t="shared" si="0"/>
        <v>0</v>
      </c>
      <c r="J87" s="13"/>
    </row>
    <row r="88" spans="1:10" ht="12.5" x14ac:dyDescent="0.25">
      <c r="A88" s="12" t="s">
        <v>268</v>
      </c>
      <c r="B88" s="12"/>
      <c r="C88" s="12"/>
      <c r="D88" s="21"/>
      <c r="E88" s="12"/>
      <c r="F88" s="12"/>
      <c r="G88" s="14"/>
      <c r="H88" s="15"/>
      <c r="I88" s="15">
        <f t="shared" si="0"/>
        <v>0</v>
      </c>
      <c r="J88" s="13"/>
    </row>
    <row r="89" spans="1:10" ht="12.5" x14ac:dyDescent="0.25">
      <c r="A89" s="12" t="s">
        <v>270</v>
      </c>
      <c r="B89" s="12"/>
      <c r="C89" s="12"/>
      <c r="D89" s="21"/>
      <c r="E89" s="12"/>
      <c r="F89" s="12"/>
      <c r="G89" s="14"/>
      <c r="H89" s="15"/>
      <c r="I89" s="15">
        <f t="shared" si="0"/>
        <v>0</v>
      </c>
      <c r="J89" s="13"/>
    </row>
    <row r="90" spans="1:10" ht="12.5" x14ac:dyDescent="0.25">
      <c r="A90" s="12" t="s">
        <v>271</v>
      </c>
      <c r="B90" s="12"/>
      <c r="C90" s="12"/>
      <c r="D90" s="21"/>
      <c r="E90" s="12"/>
      <c r="F90" s="12"/>
      <c r="G90" s="14"/>
      <c r="H90" s="15"/>
      <c r="I90" s="15">
        <f t="shared" si="0"/>
        <v>0</v>
      </c>
      <c r="J90" s="13"/>
    </row>
    <row r="91" spans="1:10" ht="12.5" x14ac:dyDescent="0.25">
      <c r="A91" s="12" t="s">
        <v>272</v>
      </c>
      <c r="B91" s="12"/>
      <c r="C91" s="12"/>
      <c r="D91" s="21"/>
      <c r="E91" s="12"/>
      <c r="F91" s="12"/>
      <c r="G91" s="14"/>
      <c r="H91" s="15"/>
      <c r="I91" s="15">
        <f t="shared" si="0"/>
        <v>0</v>
      </c>
      <c r="J91" s="13"/>
    </row>
    <row r="92" spans="1:10" ht="12.5" x14ac:dyDescent="0.25">
      <c r="A92" s="12" t="s">
        <v>273</v>
      </c>
      <c r="B92" s="12"/>
      <c r="C92" s="12"/>
      <c r="D92" s="13"/>
      <c r="E92" s="12"/>
      <c r="F92" s="12"/>
      <c r="G92" s="14"/>
      <c r="H92" s="15"/>
      <c r="I92" s="15">
        <f t="shared" si="0"/>
        <v>0</v>
      </c>
      <c r="J92" s="13"/>
    </row>
    <row r="93" spans="1:10" ht="12.5" x14ac:dyDescent="0.25">
      <c r="A93" s="12" t="s">
        <v>274</v>
      </c>
      <c r="B93" s="12"/>
      <c r="C93" s="12"/>
      <c r="D93" s="13"/>
      <c r="E93" s="12"/>
      <c r="F93" s="12"/>
      <c r="G93" s="14"/>
      <c r="H93" s="15"/>
      <c r="I93" s="15">
        <f t="shared" si="0"/>
        <v>0</v>
      </c>
      <c r="J93" s="13"/>
    </row>
    <row r="94" spans="1:10" ht="12.5" x14ac:dyDescent="0.25">
      <c r="A94" s="12" t="s">
        <v>275</v>
      </c>
      <c r="B94" s="12"/>
      <c r="C94" s="12"/>
      <c r="D94" s="13"/>
      <c r="E94" s="12"/>
      <c r="F94" s="12"/>
      <c r="G94" s="14"/>
      <c r="H94" s="15"/>
      <c r="I94" s="15">
        <f t="shared" si="0"/>
        <v>0</v>
      </c>
      <c r="J94" s="13"/>
    </row>
    <row r="95" spans="1:10" ht="12.5" x14ac:dyDescent="0.25">
      <c r="A95" s="12" t="s">
        <v>276</v>
      </c>
      <c r="B95" s="12"/>
      <c r="C95" s="12"/>
      <c r="D95" s="13"/>
      <c r="E95" s="12"/>
      <c r="F95" s="12"/>
      <c r="G95" s="14"/>
      <c r="H95" s="15"/>
      <c r="I95" s="15">
        <f t="shared" si="0"/>
        <v>0</v>
      </c>
      <c r="J95" s="13"/>
    </row>
    <row r="96" spans="1:10" ht="12.5" x14ac:dyDescent="0.25">
      <c r="A96" s="12" t="s">
        <v>277</v>
      </c>
      <c r="B96" s="12"/>
      <c r="C96" s="12"/>
      <c r="D96" s="13"/>
      <c r="E96" s="12"/>
      <c r="F96" s="12"/>
      <c r="G96" s="14"/>
      <c r="H96" s="15"/>
      <c r="I96" s="15">
        <f t="shared" si="0"/>
        <v>0</v>
      </c>
      <c r="J96" s="13"/>
    </row>
    <row r="97" spans="1:10" ht="12.5" x14ac:dyDescent="0.25">
      <c r="A97" s="12" t="s">
        <v>278</v>
      </c>
      <c r="B97" s="12"/>
      <c r="C97" s="12"/>
      <c r="D97" s="13"/>
      <c r="E97" s="12"/>
      <c r="F97" s="12"/>
      <c r="G97" s="14"/>
      <c r="H97" s="15"/>
      <c r="I97" s="15">
        <f t="shared" si="0"/>
        <v>0</v>
      </c>
      <c r="J97" s="13"/>
    </row>
    <row r="98" spans="1:10" ht="12.5" x14ac:dyDescent="0.25">
      <c r="A98" s="12" t="s">
        <v>279</v>
      </c>
      <c r="B98" s="12"/>
      <c r="C98" s="12"/>
      <c r="D98" s="13"/>
      <c r="E98" s="12"/>
      <c r="F98" s="12"/>
      <c r="G98" s="14"/>
      <c r="H98" s="15"/>
      <c r="I98" s="15">
        <f t="shared" si="0"/>
        <v>0</v>
      </c>
      <c r="J98" s="14"/>
    </row>
    <row r="99" spans="1:10" ht="12.5" x14ac:dyDescent="0.25">
      <c r="A99" s="12" t="s">
        <v>280</v>
      </c>
      <c r="B99" s="12"/>
      <c r="C99" s="12"/>
      <c r="D99" s="13"/>
      <c r="E99" s="12"/>
      <c r="F99" s="12"/>
      <c r="G99" s="14"/>
      <c r="H99" s="15"/>
      <c r="I99" s="15">
        <f t="shared" si="0"/>
        <v>0</v>
      </c>
      <c r="J99" s="13"/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>
        <f t="shared" si="0"/>
        <v>0</v>
      </c>
      <c r="J100" s="21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>
        <f t="shared" si="0"/>
        <v>0</v>
      </c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>
        <f t="shared" si="0"/>
        <v>0</v>
      </c>
      <c r="J102" s="13"/>
    </row>
    <row r="103" spans="1:10" ht="12.5" x14ac:dyDescent="0.25">
      <c r="A103" s="12">
        <v>84</v>
      </c>
      <c r="B103" s="12"/>
      <c r="C103" s="12"/>
      <c r="D103" s="13"/>
      <c r="E103" s="12"/>
      <c r="F103" s="12"/>
      <c r="G103" s="14"/>
      <c r="H103" s="15"/>
      <c r="I103" s="15">
        <f t="shared" si="0"/>
        <v>0</v>
      </c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>
        <f t="shared" si="0"/>
        <v>0</v>
      </c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>
        <f t="shared" si="0"/>
        <v>0</v>
      </c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>
        <f t="shared" si="0"/>
        <v>0</v>
      </c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>
        <f t="shared" si="0"/>
        <v>0</v>
      </c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>
        <f t="shared" si="0"/>
        <v>0</v>
      </c>
      <c r="J108" s="13"/>
    </row>
    <row r="109" spans="1:10" ht="12.5" x14ac:dyDescent="0.25">
      <c r="A109" s="12"/>
      <c r="B109" s="12"/>
      <c r="C109" s="12"/>
      <c r="D109" s="13"/>
      <c r="E109" s="12"/>
      <c r="F109" s="12"/>
      <c r="G109" s="14"/>
      <c r="H109" s="15"/>
      <c r="I109" s="15">
        <f t="shared" si="0"/>
        <v>0</v>
      </c>
      <c r="J109" s="13"/>
    </row>
    <row r="110" spans="1:10" ht="12.5" x14ac:dyDescent="0.25">
      <c r="A110" s="12"/>
      <c r="B110" s="12"/>
      <c r="C110" s="12"/>
      <c r="D110" s="13"/>
      <c r="E110" s="12"/>
      <c r="F110" s="12"/>
      <c r="G110" s="14"/>
      <c r="H110" s="15"/>
      <c r="I110" s="15">
        <f t="shared" si="0"/>
        <v>0</v>
      </c>
      <c r="J110" s="13"/>
    </row>
    <row r="111" spans="1:10" ht="12.5" x14ac:dyDescent="0.25">
      <c r="A111" s="12"/>
      <c r="B111" s="12"/>
      <c r="C111" s="12"/>
      <c r="D111" s="13"/>
      <c r="E111" s="12"/>
      <c r="F111" s="12"/>
      <c r="G111" s="14"/>
      <c r="H111" s="15"/>
      <c r="I111" s="15">
        <f t="shared" si="0"/>
        <v>0</v>
      </c>
      <c r="J111" s="13"/>
    </row>
    <row r="112" spans="1:10" ht="12.5" x14ac:dyDescent="0.25">
      <c r="A112" s="12"/>
      <c r="B112" s="12"/>
      <c r="C112" s="12"/>
      <c r="D112" s="13"/>
      <c r="E112" s="12"/>
      <c r="F112" s="12"/>
      <c r="G112" s="14"/>
      <c r="H112" s="15"/>
      <c r="I112" s="15">
        <f t="shared" si="0"/>
        <v>0</v>
      </c>
      <c r="J112" s="13"/>
    </row>
    <row r="113" spans="1:10" ht="12.5" x14ac:dyDescent="0.25">
      <c r="A113" s="12"/>
      <c r="B113" s="12"/>
      <c r="C113" s="12"/>
      <c r="D113" s="13"/>
      <c r="E113" s="12"/>
      <c r="F113" s="12"/>
      <c r="G113" s="14"/>
      <c r="H113" s="15"/>
      <c r="I113" s="15">
        <f t="shared" si="0"/>
        <v>0</v>
      </c>
      <c r="J113" s="13"/>
    </row>
    <row r="114" spans="1:10" ht="12.5" x14ac:dyDescent="0.25">
      <c r="A114" s="12"/>
      <c r="B114" s="12"/>
      <c r="C114" s="12"/>
      <c r="D114" s="13"/>
      <c r="E114" s="12"/>
      <c r="F114" s="12"/>
      <c r="G114" s="14"/>
      <c r="H114" s="15"/>
      <c r="I114" s="15">
        <f t="shared" si="0"/>
        <v>0</v>
      </c>
      <c r="J114" s="13"/>
    </row>
    <row r="115" spans="1:10" ht="12.5" x14ac:dyDescent="0.25">
      <c r="A115" s="12"/>
      <c r="B115" s="12"/>
      <c r="C115" s="12"/>
      <c r="D115" s="13"/>
      <c r="E115" s="12"/>
      <c r="F115" s="12"/>
      <c r="G115" s="14"/>
      <c r="H115" s="15"/>
      <c r="I115" s="15">
        <f t="shared" si="0"/>
        <v>0</v>
      </c>
      <c r="J115" s="13"/>
    </row>
    <row r="116" spans="1:10" ht="12.5" x14ac:dyDescent="0.25">
      <c r="A116" s="12"/>
      <c r="B116" s="12"/>
      <c r="C116" s="12"/>
      <c r="D116" s="13"/>
      <c r="E116" s="12"/>
      <c r="F116" s="12"/>
      <c r="G116" s="14"/>
      <c r="H116" s="15"/>
      <c r="I116" s="15">
        <f t="shared" si="0"/>
        <v>0</v>
      </c>
      <c r="J116" s="13"/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0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0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0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0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0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0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0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0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0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0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0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0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0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0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0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0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0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0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0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0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0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0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0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0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0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0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0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0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0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0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0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0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0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0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0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0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0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0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0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0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0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0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0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0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0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0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0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0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0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0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0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0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0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0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0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0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0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0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0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0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0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0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0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0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0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0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0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0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0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0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0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0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0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0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0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0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0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0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9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3">
    <dataValidation type="list" allowBlank="1" showErrorMessage="1" sqref="E20:E194" xr:uid="{00000000-0002-0000-0900-000000000000}">
      <formula1>"One Time,Reccuring"</formula1>
    </dataValidation>
    <dataValidation type="list" allowBlank="1" showErrorMessage="1" sqref="P18 C20:C34 C37:C194" xr:uid="{00000000-0002-0000-0900-000001000000}">
      <formula1>"Stock Dagangan,Stock Bahan,Operational,Packing,Tenant,Gaji Karyawan,Team,Iklan,Aset Toko"</formula1>
    </dataValidation>
    <dataValidation type="list" allowBlank="1" showErrorMessage="1" sqref="C35:C36" xr:uid="{00000000-0002-0000-0900-000002000000}">
      <formula1>"Stock Dagangan,Stock Bahan,Operational,Packing,Tenant,Gaji Karyawan,Team,Iklan,Aset toko"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155CC"/>
    <outlinePr summaryBelow="0" summaryRight="0"/>
  </sheetPr>
  <dimension ref="A1:Y1009"/>
  <sheetViews>
    <sheetView topLeftCell="A19"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Revenue'!AL30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31972500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993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83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31972500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410000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27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IFERROR(__xludf.DUMMYFUNCTION("filter(A20:J194,C20:C194=P18)"),"31")</f>
        <v>31</v>
      </c>
      <c r="O20" s="7">
        <f ca="1">IFERROR(__xludf.DUMMYFUNCTION("""COMPUTED_VALUE"""),5)</f>
        <v>5</v>
      </c>
      <c r="P20" s="7" t="str">
        <f ca="1">IFERROR(__xludf.DUMMYFUNCTION("""COMPUTED_VALUE"""),"Stock Bahan")</f>
        <v>Stock Bahan</v>
      </c>
      <c r="Q20" s="7" t="str">
        <f ca="1">IFERROR(__xludf.DUMMYFUNCTION("""COMPUTED_VALUE"""),"Kaitan ")</f>
        <v xml:space="preserve">Kaitan 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IFERROR(__xludf.DUMMYFUNCTION("""COMPUTED_VALUE"""),"paket ")</f>
        <v xml:space="preserve">paket </v>
      </c>
      <c r="U20" s="17">
        <f ca="1">IFERROR(__xludf.DUMMYFUNCTION("""COMPUTED_VALUE"""),120000)</f>
        <v>120000</v>
      </c>
      <c r="V20" s="17">
        <f ca="1">IFERROR(__xludf.DUMMYFUNCTION("""COMPUTED_VALUE"""),120000)</f>
        <v>120000</v>
      </c>
      <c r="W20" s="7" t="str">
        <f ca="1">IFERROR(__xludf.DUMMYFUNCTION("""COMPUTED_VALUE"""),"Shopetvee")</f>
        <v>Shopetvee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IFERROR(__xludf.DUMMYFUNCTION("""COMPUTED_VALUE"""),"55")</f>
        <v>55</v>
      </c>
      <c r="O21" s="7">
        <f ca="1">IFERROR(__xludf.DUMMYFUNCTION("""COMPUTED_VALUE"""),13)</f>
        <v>13</v>
      </c>
      <c r="P21" s="7" t="str">
        <f ca="1">IFERROR(__xludf.DUMMYFUNCTION("""COMPUTED_VALUE"""),"Stock Bahan")</f>
        <v>Stock Bahan</v>
      </c>
      <c r="Q21" s="7" t="str">
        <f ca="1">IFERROR(__xludf.DUMMYFUNCTION("""COMPUTED_VALUE"""),"bunga")</f>
        <v>bunga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IFERROR(__xludf.DUMMYFUNCTION("""COMPUTED_VALUE"""),"paket ")</f>
        <v xml:space="preserve">paket </v>
      </c>
      <c r="U21" s="17">
        <f ca="1">IFERROR(__xludf.DUMMYFUNCTION("""COMPUTED_VALUE"""),140000)</f>
        <v>140000</v>
      </c>
      <c r="V21" s="17">
        <f ca="1">IFERROR(__xludf.DUMMYFUNCTION("""COMPUTED_VALUE"""),140000)</f>
        <v>140000</v>
      </c>
      <c r="W21" s="7" t="str">
        <f ca="1">IFERROR(__xludf.DUMMYFUNCTION("""COMPUTED_VALUE"""),"sweetbloom")</f>
        <v>sweetbloom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N22" s="7" t="str">
        <f ca="1">IFERROR(__xludf.DUMMYFUNCTION("""COMPUTED_VALUE"""),"62")</f>
        <v>62</v>
      </c>
      <c r="O22" s="7">
        <f ca="1">IFERROR(__xludf.DUMMYFUNCTION("""COMPUTED_VALUE"""),16)</f>
        <v>16</v>
      </c>
      <c r="P22" s="7" t="str">
        <f ca="1">IFERROR(__xludf.DUMMYFUNCTION("""COMPUTED_VALUE"""),"Stock Bahan")</f>
        <v>Stock Bahan</v>
      </c>
      <c r="Q22" s="7" t="str">
        <f ca="1">IFERROR(__xludf.DUMMYFUNCTION("""COMPUTED_VALUE"""),"pengait")</f>
        <v>pengait</v>
      </c>
      <c r="R22" s="7" t="str">
        <f ca="1">IFERROR(__xludf.DUMMYFUNCTION("""COMPUTED_VALUE"""),"Reccuring")</f>
        <v>Reccuring</v>
      </c>
      <c r="S22" s="7">
        <f ca="1">IFERROR(__xludf.DUMMYFUNCTION("""COMPUTED_VALUE"""),1)</f>
        <v>1</v>
      </c>
      <c r="T22" s="16" t="str">
        <f ca="1">IFERROR(__xludf.DUMMYFUNCTION("""COMPUTED_VALUE"""),"paket ")</f>
        <v xml:space="preserve">paket </v>
      </c>
      <c r="U22" s="17">
        <f ca="1">IFERROR(__xludf.DUMMYFUNCTION("""COMPUTED_VALUE"""),150000)</f>
        <v>150000</v>
      </c>
      <c r="V22" s="17">
        <f ca="1">IFERROR(__xludf.DUMMYFUNCTION("""COMPUTED_VALUE"""),150000)</f>
        <v>150000</v>
      </c>
      <c r="W22" s="7" t="str">
        <f ca="1">IFERROR(__xludf.DUMMYFUNCTION("""COMPUTED_VALUE"""),"tokoduniamonte")</f>
        <v>tokoduniamonte</v>
      </c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U23" s="18"/>
      <c r="V23" s="18"/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U24" s="18"/>
      <c r="V24" s="18"/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U25" s="18"/>
      <c r="V25" s="18"/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36</v>
      </c>
      <c r="E26" s="12" t="s">
        <v>22</v>
      </c>
      <c r="F26" s="12">
        <v>1</v>
      </c>
      <c r="G26" s="14" t="s">
        <v>23</v>
      </c>
      <c r="H26" s="15">
        <v>2200000</v>
      </c>
      <c r="I26" s="15">
        <f t="shared" si="0"/>
        <v>2200000</v>
      </c>
      <c r="J26" s="13" t="s">
        <v>37</v>
      </c>
      <c r="U26" s="18"/>
      <c r="V26" s="18"/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36</v>
      </c>
      <c r="E27" s="12" t="s">
        <v>22</v>
      </c>
      <c r="F27" s="12">
        <v>1</v>
      </c>
      <c r="G27" s="14" t="s">
        <v>23</v>
      </c>
      <c r="H27" s="15">
        <v>2410000</v>
      </c>
      <c r="I27" s="15">
        <f t="shared" si="0"/>
        <v>2410000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4</v>
      </c>
      <c r="G28" s="14" t="s">
        <v>23</v>
      </c>
      <c r="H28" s="15">
        <v>40000</v>
      </c>
      <c r="I28" s="15">
        <v>250000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4</v>
      </c>
      <c r="G29" s="14" t="s">
        <v>23</v>
      </c>
      <c r="H29" s="15">
        <v>50000</v>
      </c>
      <c r="I29" s="15">
        <f t="shared" ref="I29:I194" si="1">F29*H29</f>
        <v>200000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4</v>
      </c>
      <c r="G30" s="14" t="s">
        <v>23</v>
      </c>
      <c r="H30" s="15">
        <v>65000</v>
      </c>
      <c r="I30" s="15">
        <f t="shared" si="1"/>
        <v>260000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1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1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1</v>
      </c>
      <c r="C33" s="12" t="s">
        <v>660</v>
      </c>
      <c r="D33" s="21" t="s">
        <v>661</v>
      </c>
      <c r="E33" s="12" t="s">
        <v>22</v>
      </c>
      <c r="F33" s="12">
        <v>1</v>
      </c>
      <c r="G33" s="14" t="s">
        <v>23</v>
      </c>
      <c r="H33" s="15">
        <v>500000</v>
      </c>
      <c r="I33" s="15">
        <f t="shared" si="1"/>
        <v>500000</v>
      </c>
      <c r="J33" s="13" t="s">
        <v>662</v>
      </c>
      <c r="U33" s="18"/>
      <c r="V33" s="18"/>
    </row>
    <row r="34" spans="1:22" ht="12.5" x14ac:dyDescent="0.25">
      <c r="A34" s="12" t="s">
        <v>128</v>
      </c>
      <c r="B34" s="12">
        <v>1</v>
      </c>
      <c r="C34" s="12" t="s">
        <v>39</v>
      </c>
      <c r="D34" s="21" t="s">
        <v>959</v>
      </c>
      <c r="E34" s="12" t="s">
        <v>22</v>
      </c>
      <c r="F34" s="12">
        <v>1</v>
      </c>
      <c r="G34" s="14" t="s">
        <v>23</v>
      </c>
      <c r="H34" s="15">
        <v>550000</v>
      </c>
      <c r="I34" s="15">
        <f t="shared" si="1"/>
        <v>550000</v>
      </c>
      <c r="J34" s="13" t="s">
        <v>996</v>
      </c>
      <c r="U34" s="18"/>
      <c r="V34" s="18"/>
    </row>
    <row r="35" spans="1:22" ht="12.5" x14ac:dyDescent="0.25">
      <c r="A35" s="12" t="s">
        <v>129</v>
      </c>
      <c r="B35" s="12">
        <v>1</v>
      </c>
      <c r="C35" s="12" t="s">
        <v>262</v>
      </c>
      <c r="D35" s="21" t="s">
        <v>997</v>
      </c>
      <c r="E35" s="12" t="s">
        <v>68</v>
      </c>
      <c r="F35" s="12">
        <v>1</v>
      </c>
      <c r="G35" s="14" t="s">
        <v>998</v>
      </c>
      <c r="H35" s="15">
        <v>400000</v>
      </c>
      <c r="I35" s="15">
        <f t="shared" si="1"/>
        <v>400000</v>
      </c>
      <c r="J35" s="13" t="s">
        <v>38</v>
      </c>
      <c r="U35" s="18"/>
      <c r="V35" s="18"/>
    </row>
    <row r="36" spans="1:22" ht="12.5" x14ac:dyDescent="0.25">
      <c r="A36" s="12" t="s">
        <v>130</v>
      </c>
      <c r="B36" s="12">
        <v>1</v>
      </c>
      <c r="C36" s="12" t="s">
        <v>262</v>
      </c>
      <c r="D36" s="21" t="s">
        <v>999</v>
      </c>
      <c r="E36" s="12" t="s">
        <v>68</v>
      </c>
      <c r="F36" s="12">
        <v>1</v>
      </c>
      <c r="G36" s="14" t="s">
        <v>1000</v>
      </c>
      <c r="H36" s="15">
        <v>500000</v>
      </c>
      <c r="I36" s="15">
        <f t="shared" si="1"/>
        <v>500000</v>
      </c>
      <c r="J36" s="13" t="s">
        <v>37</v>
      </c>
    </row>
    <row r="37" spans="1:22" ht="12.5" x14ac:dyDescent="0.25">
      <c r="A37" s="12" t="s">
        <v>131</v>
      </c>
      <c r="B37" s="12">
        <v>1</v>
      </c>
      <c r="C37" s="12" t="s">
        <v>35</v>
      </c>
      <c r="D37" s="21" t="s">
        <v>1001</v>
      </c>
      <c r="E37" s="12" t="s">
        <v>68</v>
      </c>
      <c r="F37" s="12">
        <v>1</v>
      </c>
      <c r="G37" s="14" t="s">
        <v>1002</v>
      </c>
      <c r="H37" s="15">
        <v>650000</v>
      </c>
      <c r="I37" s="15">
        <f t="shared" si="1"/>
        <v>650000</v>
      </c>
      <c r="J37" s="13" t="s">
        <v>1003</v>
      </c>
    </row>
    <row r="38" spans="1:22" ht="12.5" x14ac:dyDescent="0.25">
      <c r="A38" s="12" t="s">
        <v>135</v>
      </c>
      <c r="B38" s="12">
        <v>1</v>
      </c>
      <c r="C38" s="12" t="s">
        <v>35</v>
      </c>
      <c r="D38" s="21" t="s">
        <v>1004</v>
      </c>
      <c r="E38" s="12" t="s">
        <v>68</v>
      </c>
      <c r="F38" s="12">
        <v>1</v>
      </c>
      <c r="G38" s="14" t="s">
        <v>1002</v>
      </c>
      <c r="H38" s="15">
        <v>450000</v>
      </c>
      <c r="I38" s="15">
        <f t="shared" si="1"/>
        <v>450000</v>
      </c>
      <c r="J38" s="13" t="s">
        <v>1004</v>
      </c>
    </row>
    <row r="39" spans="1:22" ht="12.5" x14ac:dyDescent="0.25">
      <c r="A39" s="12" t="s">
        <v>138</v>
      </c>
      <c r="B39" s="12">
        <v>1</v>
      </c>
      <c r="C39" s="12" t="s">
        <v>35</v>
      </c>
      <c r="D39" s="21" t="s">
        <v>1005</v>
      </c>
      <c r="E39" s="12" t="s">
        <v>68</v>
      </c>
      <c r="F39" s="12">
        <v>1</v>
      </c>
      <c r="G39" s="14" t="s">
        <v>1006</v>
      </c>
      <c r="H39" s="15">
        <v>400000</v>
      </c>
      <c r="I39" s="15">
        <f t="shared" si="1"/>
        <v>400000</v>
      </c>
      <c r="J39" s="13" t="s">
        <v>1005</v>
      </c>
    </row>
    <row r="40" spans="1:22" ht="12.5" x14ac:dyDescent="0.25">
      <c r="A40" s="12" t="s">
        <v>141</v>
      </c>
      <c r="B40" s="12">
        <v>1</v>
      </c>
      <c r="C40" s="12" t="s">
        <v>39</v>
      </c>
      <c r="D40" s="21" t="s">
        <v>1007</v>
      </c>
      <c r="E40" s="12" t="s">
        <v>68</v>
      </c>
      <c r="F40" s="12">
        <v>6</v>
      </c>
      <c r="G40" s="14" t="s">
        <v>1002</v>
      </c>
      <c r="H40" s="15">
        <v>20000</v>
      </c>
      <c r="I40" s="15">
        <f t="shared" si="1"/>
        <v>120000</v>
      </c>
      <c r="J40" s="13" t="s">
        <v>1008</v>
      </c>
    </row>
    <row r="41" spans="1:22" ht="12.5" x14ac:dyDescent="0.25">
      <c r="A41" s="12" t="s">
        <v>144</v>
      </c>
      <c r="B41" s="12">
        <v>1</v>
      </c>
      <c r="C41" s="12" t="s">
        <v>10</v>
      </c>
      <c r="D41" s="21" t="s">
        <v>1009</v>
      </c>
      <c r="E41" s="12" t="s">
        <v>68</v>
      </c>
      <c r="F41" s="12">
        <v>2</v>
      </c>
      <c r="G41" s="14" t="s">
        <v>1002</v>
      </c>
      <c r="H41" s="15">
        <v>200000</v>
      </c>
      <c r="I41" s="15">
        <f t="shared" si="1"/>
        <v>400000</v>
      </c>
      <c r="J41" s="13" t="s">
        <v>1010</v>
      </c>
    </row>
    <row r="42" spans="1:22" ht="12.5" x14ac:dyDescent="0.25">
      <c r="A42" s="12" t="s">
        <v>147</v>
      </c>
      <c r="B42" s="12">
        <v>2</v>
      </c>
      <c r="C42" s="12" t="s">
        <v>51</v>
      </c>
      <c r="D42" s="21" t="s">
        <v>1011</v>
      </c>
      <c r="E42" s="12" t="s">
        <v>22</v>
      </c>
      <c r="F42" s="12">
        <v>1</v>
      </c>
      <c r="G42" s="14" t="s">
        <v>703</v>
      </c>
      <c r="H42" s="15">
        <v>290000</v>
      </c>
      <c r="I42" s="15">
        <f t="shared" si="1"/>
        <v>290000</v>
      </c>
      <c r="J42" s="13" t="s">
        <v>580</v>
      </c>
    </row>
    <row r="43" spans="1:22" ht="12.5" x14ac:dyDescent="0.25">
      <c r="A43" s="12" t="s">
        <v>150</v>
      </c>
      <c r="B43" s="12">
        <v>2</v>
      </c>
      <c r="C43" s="12" t="s">
        <v>51</v>
      </c>
      <c r="D43" s="21" t="s">
        <v>772</v>
      </c>
      <c r="E43" s="12" t="s">
        <v>22</v>
      </c>
      <c r="F43" s="12">
        <v>1</v>
      </c>
      <c r="G43" s="14" t="s">
        <v>703</v>
      </c>
      <c r="H43" s="15">
        <v>280000</v>
      </c>
      <c r="I43" s="15">
        <f t="shared" si="1"/>
        <v>280000</v>
      </c>
      <c r="J43" s="21" t="s">
        <v>986</v>
      </c>
    </row>
    <row r="44" spans="1:22" ht="12.5" x14ac:dyDescent="0.25">
      <c r="A44" s="12" t="s">
        <v>153</v>
      </c>
      <c r="B44" s="12">
        <v>3</v>
      </c>
      <c r="C44" s="12" t="s">
        <v>51</v>
      </c>
      <c r="D44" s="21" t="s">
        <v>353</v>
      </c>
      <c r="E44" s="12" t="s">
        <v>22</v>
      </c>
      <c r="F44" s="12">
        <v>1</v>
      </c>
      <c r="G44" s="14" t="s">
        <v>703</v>
      </c>
      <c r="H44" s="15">
        <v>350000</v>
      </c>
      <c r="I44" s="15">
        <f t="shared" si="1"/>
        <v>350000</v>
      </c>
      <c r="J44" s="13" t="s">
        <v>459</v>
      </c>
    </row>
    <row r="45" spans="1:22" ht="12.5" x14ac:dyDescent="0.25">
      <c r="A45" s="12" t="s">
        <v>156</v>
      </c>
      <c r="B45" s="12">
        <v>4</v>
      </c>
      <c r="C45" s="12" t="s">
        <v>51</v>
      </c>
      <c r="D45" s="21" t="s">
        <v>1012</v>
      </c>
      <c r="E45" s="12" t="s">
        <v>22</v>
      </c>
      <c r="F45" s="12">
        <v>1</v>
      </c>
      <c r="G45" s="14" t="s">
        <v>703</v>
      </c>
      <c r="H45" s="15">
        <v>100000</v>
      </c>
      <c r="I45" s="15">
        <f t="shared" si="1"/>
        <v>100000</v>
      </c>
      <c r="J45" s="13" t="s">
        <v>679</v>
      </c>
    </row>
    <row r="46" spans="1:22" ht="12.5" x14ac:dyDescent="0.25">
      <c r="A46" s="12" t="s">
        <v>158</v>
      </c>
      <c r="B46" s="12">
        <v>4</v>
      </c>
      <c r="C46" s="12" t="s">
        <v>262</v>
      </c>
      <c r="D46" s="21" t="s">
        <v>1013</v>
      </c>
      <c r="E46" s="12" t="s">
        <v>22</v>
      </c>
      <c r="F46" s="12">
        <v>1</v>
      </c>
      <c r="G46" s="14" t="s">
        <v>703</v>
      </c>
      <c r="H46" s="15">
        <v>180000</v>
      </c>
      <c r="I46" s="15">
        <f t="shared" si="1"/>
        <v>180000</v>
      </c>
      <c r="J46" s="13" t="s">
        <v>1014</v>
      </c>
    </row>
    <row r="47" spans="1:22" ht="12.5" x14ac:dyDescent="0.25">
      <c r="A47" s="12" t="s">
        <v>161</v>
      </c>
      <c r="B47" s="12">
        <v>4</v>
      </c>
      <c r="C47" s="12" t="s">
        <v>51</v>
      </c>
      <c r="D47" s="21" t="s">
        <v>1015</v>
      </c>
      <c r="E47" s="12" t="s">
        <v>22</v>
      </c>
      <c r="F47" s="12">
        <v>1</v>
      </c>
      <c r="G47" s="14" t="s">
        <v>703</v>
      </c>
      <c r="H47" s="15">
        <v>400000</v>
      </c>
      <c r="I47" s="15">
        <f t="shared" si="1"/>
        <v>400000</v>
      </c>
      <c r="J47" s="13" t="s">
        <v>417</v>
      </c>
    </row>
    <row r="48" spans="1:22" ht="12.5" x14ac:dyDescent="0.25">
      <c r="A48" s="12" t="s">
        <v>164</v>
      </c>
      <c r="B48" s="12">
        <v>4</v>
      </c>
      <c r="C48" s="12" t="s">
        <v>51</v>
      </c>
      <c r="D48" s="21" t="s">
        <v>1016</v>
      </c>
      <c r="E48" s="12" t="s">
        <v>22</v>
      </c>
      <c r="F48" s="12">
        <v>1</v>
      </c>
      <c r="G48" s="14" t="s">
        <v>703</v>
      </c>
      <c r="H48" s="15">
        <v>350000</v>
      </c>
      <c r="I48" s="15">
        <f t="shared" si="1"/>
        <v>350000</v>
      </c>
      <c r="J48" s="13" t="s">
        <v>1017</v>
      </c>
    </row>
    <row r="49" spans="1:10" ht="12.5" x14ac:dyDescent="0.25">
      <c r="A49" s="12" t="s">
        <v>166</v>
      </c>
      <c r="B49" s="12">
        <v>5</v>
      </c>
      <c r="C49" s="12" t="s">
        <v>51</v>
      </c>
      <c r="D49" s="21" t="s">
        <v>1018</v>
      </c>
      <c r="E49" s="12" t="s">
        <v>22</v>
      </c>
      <c r="F49" s="12">
        <v>1</v>
      </c>
      <c r="G49" s="14" t="s">
        <v>703</v>
      </c>
      <c r="H49" s="15">
        <v>150000</v>
      </c>
      <c r="I49" s="15">
        <f t="shared" si="1"/>
        <v>150000</v>
      </c>
      <c r="J49" s="13" t="s">
        <v>1019</v>
      </c>
    </row>
    <row r="50" spans="1:10" ht="12.5" x14ac:dyDescent="0.25">
      <c r="A50" s="12" t="s">
        <v>169</v>
      </c>
      <c r="B50" s="12">
        <v>5</v>
      </c>
      <c r="C50" s="12" t="s">
        <v>83</v>
      </c>
      <c r="D50" s="21" t="s">
        <v>1020</v>
      </c>
      <c r="E50" s="12" t="s">
        <v>22</v>
      </c>
      <c r="F50" s="12">
        <v>1</v>
      </c>
      <c r="G50" s="14" t="s">
        <v>703</v>
      </c>
      <c r="H50" s="15">
        <v>120000</v>
      </c>
      <c r="I50" s="15">
        <f t="shared" si="1"/>
        <v>120000</v>
      </c>
      <c r="J50" s="13" t="s">
        <v>85</v>
      </c>
    </row>
    <row r="51" spans="1:10" ht="12.5" x14ac:dyDescent="0.25">
      <c r="A51" s="12" t="s">
        <v>171</v>
      </c>
      <c r="B51" s="12">
        <v>6</v>
      </c>
      <c r="C51" s="12" t="s">
        <v>51</v>
      </c>
      <c r="D51" s="21" t="s">
        <v>1021</v>
      </c>
      <c r="E51" s="12" t="s">
        <v>22</v>
      </c>
      <c r="F51" s="12">
        <v>1</v>
      </c>
      <c r="G51" s="14" t="s">
        <v>703</v>
      </c>
      <c r="H51" s="15">
        <v>60000</v>
      </c>
      <c r="I51" s="15">
        <f t="shared" si="1"/>
        <v>60000</v>
      </c>
      <c r="J51" s="13" t="s">
        <v>1022</v>
      </c>
    </row>
    <row r="52" spans="1:10" ht="12.5" x14ac:dyDescent="0.25">
      <c r="A52" s="12" t="s">
        <v>172</v>
      </c>
      <c r="B52" s="12">
        <v>7</v>
      </c>
      <c r="C52" s="12" t="s">
        <v>51</v>
      </c>
      <c r="D52" s="21" t="s">
        <v>86</v>
      </c>
      <c r="E52" s="12" t="s">
        <v>22</v>
      </c>
      <c r="F52" s="12">
        <v>1</v>
      </c>
      <c r="G52" s="14" t="s">
        <v>703</v>
      </c>
      <c r="H52" s="15">
        <v>370000</v>
      </c>
      <c r="I52" s="15">
        <f t="shared" si="1"/>
        <v>370000</v>
      </c>
      <c r="J52" s="13" t="s">
        <v>1023</v>
      </c>
    </row>
    <row r="53" spans="1:10" ht="12.5" x14ac:dyDescent="0.25">
      <c r="A53" s="12" t="s">
        <v>175</v>
      </c>
      <c r="B53" s="12">
        <v>7</v>
      </c>
      <c r="C53" s="12" t="s">
        <v>51</v>
      </c>
      <c r="D53" s="21" t="s">
        <v>1024</v>
      </c>
      <c r="E53" s="12" t="s">
        <v>22</v>
      </c>
      <c r="F53" s="12">
        <v>1</v>
      </c>
      <c r="G53" s="14" t="s">
        <v>703</v>
      </c>
      <c r="H53" s="15">
        <v>120000</v>
      </c>
      <c r="I53" s="15">
        <f t="shared" si="1"/>
        <v>120000</v>
      </c>
      <c r="J53" s="13" t="s">
        <v>1025</v>
      </c>
    </row>
    <row r="54" spans="1:10" ht="12.5" x14ac:dyDescent="0.25">
      <c r="A54" s="12" t="s">
        <v>178</v>
      </c>
      <c r="B54" s="12">
        <v>7</v>
      </c>
      <c r="C54" s="12" t="s">
        <v>51</v>
      </c>
      <c r="D54" s="21" t="s">
        <v>1026</v>
      </c>
      <c r="E54" s="12" t="s">
        <v>22</v>
      </c>
      <c r="F54" s="12">
        <v>1</v>
      </c>
      <c r="G54" s="14" t="s">
        <v>703</v>
      </c>
      <c r="H54" s="15">
        <v>160000</v>
      </c>
      <c r="I54" s="15">
        <f t="shared" si="1"/>
        <v>160000</v>
      </c>
      <c r="J54" s="13" t="s">
        <v>1027</v>
      </c>
    </row>
    <row r="55" spans="1:10" ht="12.5" x14ac:dyDescent="0.25">
      <c r="A55" s="12" t="s">
        <v>181</v>
      </c>
      <c r="B55" s="12">
        <v>8</v>
      </c>
      <c r="C55" s="12" t="s">
        <v>51</v>
      </c>
      <c r="D55" s="21" t="s">
        <v>1028</v>
      </c>
      <c r="E55" s="12" t="s">
        <v>22</v>
      </c>
      <c r="F55" s="12">
        <v>1</v>
      </c>
      <c r="G55" s="14" t="s">
        <v>703</v>
      </c>
      <c r="H55" s="15">
        <v>250000</v>
      </c>
      <c r="I55" s="15">
        <f t="shared" si="1"/>
        <v>250000</v>
      </c>
      <c r="J55" s="13" t="s">
        <v>1029</v>
      </c>
    </row>
    <row r="56" spans="1:10" ht="12.5" x14ac:dyDescent="0.25">
      <c r="A56" s="12" t="s">
        <v>183</v>
      </c>
      <c r="B56" s="12">
        <v>10</v>
      </c>
      <c r="C56" s="12" t="s">
        <v>51</v>
      </c>
      <c r="D56" s="21" t="s">
        <v>1030</v>
      </c>
      <c r="E56" s="12" t="s">
        <v>22</v>
      </c>
      <c r="F56" s="12">
        <v>1</v>
      </c>
      <c r="G56" s="14" t="s">
        <v>703</v>
      </c>
      <c r="H56" s="15">
        <v>190000</v>
      </c>
      <c r="I56" s="15">
        <f t="shared" si="1"/>
        <v>190000</v>
      </c>
      <c r="J56" s="13" t="s">
        <v>1031</v>
      </c>
    </row>
    <row r="57" spans="1:10" ht="12.5" x14ac:dyDescent="0.25">
      <c r="A57" s="12" t="s">
        <v>186</v>
      </c>
      <c r="B57" s="12">
        <v>10</v>
      </c>
      <c r="C57" s="12" t="s">
        <v>51</v>
      </c>
      <c r="D57" s="21" t="s">
        <v>1032</v>
      </c>
      <c r="E57" s="12" t="s">
        <v>22</v>
      </c>
      <c r="F57" s="12">
        <v>1</v>
      </c>
      <c r="G57" s="14" t="s">
        <v>703</v>
      </c>
      <c r="H57" s="15">
        <v>60000</v>
      </c>
      <c r="I57" s="15">
        <f t="shared" si="1"/>
        <v>60000</v>
      </c>
      <c r="J57" s="13" t="s">
        <v>1033</v>
      </c>
    </row>
    <row r="58" spans="1:10" ht="12.5" x14ac:dyDescent="0.25">
      <c r="A58" s="12" t="s">
        <v>189</v>
      </c>
      <c r="B58" s="12">
        <v>10</v>
      </c>
      <c r="C58" s="12" t="s">
        <v>51</v>
      </c>
      <c r="D58" s="21" t="s">
        <v>1034</v>
      </c>
      <c r="E58" s="12" t="s">
        <v>22</v>
      </c>
      <c r="F58" s="12">
        <v>1</v>
      </c>
      <c r="G58" s="14" t="s">
        <v>703</v>
      </c>
      <c r="H58" s="15">
        <v>350000</v>
      </c>
      <c r="I58" s="15">
        <f t="shared" si="1"/>
        <v>350000</v>
      </c>
      <c r="J58" s="13" t="s">
        <v>1035</v>
      </c>
    </row>
    <row r="59" spans="1:10" ht="12.5" x14ac:dyDescent="0.25">
      <c r="A59" s="12" t="s">
        <v>191</v>
      </c>
      <c r="B59" s="12">
        <v>10</v>
      </c>
      <c r="C59" s="12" t="s">
        <v>51</v>
      </c>
      <c r="D59" s="21" t="s">
        <v>392</v>
      </c>
      <c r="E59" s="12" t="s">
        <v>22</v>
      </c>
      <c r="F59" s="12">
        <v>1</v>
      </c>
      <c r="G59" s="14" t="s">
        <v>703</v>
      </c>
      <c r="H59" s="15">
        <v>340000</v>
      </c>
      <c r="I59" s="15">
        <f t="shared" si="1"/>
        <v>340000</v>
      </c>
      <c r="J59" s="13" t="s">
        <v>689</v>
      </c>
    </row>
    <row r="60" spans="1:10" ht="12.5" x14ac:dyDescent="0.25">
      <c r="A60" s="12" t="s">
        <v>194</v>
      </c>
      <c r="B60" s="12">
        <v>10</v>
      </c>
      <c r="C60" s="12" t="s">
        <v>51</v>
      </c>
      <c r="D60" s="21" t="s">
        <v>1030</v>
      </c>
      <c r="E60" s="12" t="s">
        <v>22</v>
      </c>
      <c r="F60" s="12">
        <v>1</v>
      </c>
      <c r="G60" s="14" t="s">
        <v>703</v>
      </c>
      <c r="H60" s="15">
        <v>210000</v>
      </c>
      <c r="I60" s="15">
        <f t="shared" si="1"/>
        <v>210000</v>
      </c>
      <c r="J60" s="13" t="s">
        <v>1036</v>
      </c>
    </row>
    <row r="61" spans="1:10" ht="12.5" x14ac:dyDescent="0.25">
      <c r="A61" s="12" t="s">
        <v>197</v>
      </c>
      <c r="B61" s="12">
        <v>10</v>
      </c>
      <c r="C61" s="12" t="s">
        <v>51</v>
      </c>
      <c r="D61" s="21" t="s">
        <v>795</v>
      </c>
      <c r="E61" s="12" t="s">
        <v>22</v>
      </c>
      <c r="F61" s="12">
        <v>1</v>
      </c>
      <c r="G61" s="14" t="s">
        <v>703</v>
      </c>
      <c r="H61" s="15">
        <v>640000</v>
      </c>
      <c r="I61" s="15">
        <f t="shared" si="1"/>
        <v>640000</v>
      </c>
      <c r="J61" s="13" t="s">
        <v>1037</v>
      </c>
    </row>
    <row r="62" spans="1:10" ht="12.5" x14ac:dyDescent="0.25">
      <c r="A62" s="12" t="s">
        <v>199</v>
      </c>
      <c r="B62" s="12">
        <v>11</v>
      </c>
      <c r="C62" s="12" t="s">
        <v>51</v>
      </c>
      <c r="D62" s="21" t="s">
        <v>1038</v>
      </c>
      <c r="E62" s="12" t="s">
        <v>22</v>
      </c>
      <c r="F62" s="12">
        <v>1</v>
      </c>
      <c r="G62" s="14" t="s">
        <v>703</v>
      </c>
      <c r="H62" s="15">
        <v>155000</v>
      </c>
      <c r="I62" s="15">
        <f t="shared" si="1"/>
        <v>155000</v>
      </c>
      <c r="J62" s="13" t="s">
        <v>1039</v>
      </c>
    </row>
    <row r="63" spans="1:10" ht="12.5" x14ac:dyDescent="0.25">
      <c r="A63" s="12" t="s">
        <v>202</v>
      </c>
      <c r="B63" s="12">
        <v>11</v>
      </c>
      <c r="C63" s="12" t="s">
        <v>51</v>
      </c>
      <c r="D63" s="21" t="s">
        <v>1040</v>
      </c>
      <c r="E63" s="12" t="s">
        <v>22</v>
      </c>
      <c r="F63" s="12">
        <v>1</v>
      </c>
      <c r="G63" s="14" t="s">
        <v>703</v>
      </c>
      <c r="H63" s="15">
        <v>370000</v>
      </c>
      <c r="I63" s="15">
        <f t="shared" si="1"/>
        <v>370000</v>
      </c>
      <c r="J63" s="13" t="s">
        <v>1041</v>
      </c>
    </row>
    <row r="64" spans="1:10" ht="12.5" x14ac:dyDescent="0.25">
      <c r="A64" s="12" t="s">
        <v>205</v>
      </c>
      <c r="B64" s="12">
        <v>12</v>
      </c>
      <c r="C64" s="12" t="s">
        <v>51</v>
      </c>
      <c r="D64" s="21" t="s">
        <v>1042</v>
      </c>
      <c r="E64" s="12" t="s">
        <v>22</v>
      </c>
      <c r="F64" s="12">
        <v>1</v>
      </c>
      <c r="G64" s="14" t="s">
        <v>703</v>
      </c>
      <c r="H64" s="15">
        <v>210000</v>
      </c>
      <c r="I64" s="15">
        <f t="shared" si="1"/>
        <v>210000</v>
      </c>
      <c r="J64" s="13" t="s">
        <v>1043</v>
      </c>
    </row>
    <row r="65" spans="1:10" ht="12.5" x14ac:dyDescent="0.25">
      <c r="A65" s="12" t="s">
        <v>207</v>
      </c>
      <c r="B65" s="12">
        <v>12</v>
      </c>
      <c r="C65" s="12" t="s">
        <v>51</v>
      </c>
      <c r="D65" s="21" t="s">
        <v>1044</v>
      </c>
      <c r="E65" s="12" t="s">
        <v>22</v>
      </c>
      <c r="F65" s="12">
        <v>1</v>
      </c>
      <c r="G65" s="14" t="s">
        <v>703</v>
      </c>
      <c r="H65" s="15">
        <v>720000</v>
      </c>
      <c r="I65" s="15">
        <f t="shared" si="1"/>
        <v>720000</v>
      </c>
      <c r="J65" s="13" t="s">
        <v>1045</v>
      </c>
    </row>
    <row r="66" spans="1:10" ht="12.5" x14ac:dyDescent="0.25">
      <c r="A66" s="12" t="s">
        <v>210</v>
      </c>
      <c r="B66" s="12">
        <v>12</v>
      </c>
      <c r="C66" s="12" t="s">
        <v>51</v>
      </c>
      <c r="D66" s="21" t="s">
        <v>1046</v>
      </c>
      <c r="E66" s="12" t="s">
        <v>22</v>
      </c>
      <c r="F66" s="12">
        <v>1</v>
      </c>
      <c r="G66" s="14" t="s">
        <v>703</v>
      </c>
      <c r="H66" s="15">
        <v>280000</v>
      </c>
      <c r="I66" s="15">
        <f t="shared" si="1"/>
        <v>280000</v>
      </c>
      <c r="J66" s="13" t="s">
        <v>1047</v>
      </c>
    </row>
    <row r="67" spans="1:10" ht="12.5" x14ac:dyDescent="0.25">
      <c r="A67" s="12" t="s">
        <v>213</v>
      </c>
      <c r="B67" s="12">
        <v>12</v>
      </c>
      <c r="C67" s="12" t="s">
        <v>51</v>
      </c>
      <c r="D67" s="21" t="s">
        <v>1032</v>
      </c>
      <c r="E67" s="12" t="s">
        <v>22</v>
      </c>
      <c r="F67" s="12">
        <v>1</v>
      </c>
      <c r="G67" s="14" t="s">
        <v>703</v>
      </c>
      <c r="H67" s="15">
        <v>180000</v>
      </c>
      <c r="I67" s="15">
        <f t="shared" si="1"/>
        <v>180000</v>
      </c>
      <c r="J67" s="13" t="s">
        <v>1048</v>
      </c>
    </row>
    <row r="68" spans="1:10" ht="12.5" x14ac:dyDescent="0.25">
      <c r="A68" s="12" t="s">
        <v>216</v>
      </c>
      <c r="B68" s="12">
        <v>12</v>
      </c>
      <c r="C68" s="12" t="s">
        <v>51</v>
      </c>
      <c r="D68" s="21" t="s">
        <v>1011</v>
      </c>
      <c r="E68" s="12" t="s">
        <v>22</v>
      </c>
      <c r="F68" s="12">
        <v>1</v>
      </c>
      <c r="G68" s="14" t="s">
        <v>703</v>
      </c>
      <c r="H68" s="15">
        <v>300000</v>
      </c>
      <c r="I68" s="15">
        <f t="shared" si="1"/>
        <v>300000</v>
      </c>
      <c r="J68" s="13" t="s">
        <v>580</v>
      </c>
    </row>
    <row r="69" spans="1:10" ht="12.5" x14ac:dyDescent="0.25">
      <c r="A69" s="12" t="s">
        <v>218</v>
      </c>
      <c r="B69" s="12">
        <v>13</v>
      </c>
      <c r="C69" s="12" t="s">
        <v>51</v>
      </c>
      <c r="D69" s="21" t="s">
        <v>1049</v>
      </c>
      <c r="E69" s="12" t="s">
        <v>22</v>
      </c>
      <c r="F69" s="12">
        <v>1</v>
      </c>
      <c r="G69" s="14" t="s">
        <v>703</v>
      </c>
      <c r="H69" s="15">
        <v>360000</v>
      </c>
      <c r="I69" s="15">
        <f t="shared" si="1"/>
        <v>360000</v>
      </c>
      <c r="J69" s="13" t="s">
        <v>1050</v>
      </c>
    </row>
    <row r="70" spans="1:10" ht="12.5" x14ac:dyDescent="0.25">
      <c r="A70" s="12" t="s">
        <v>221</v>
      </c>
      <c r="B70" s="12">
        <v>13</v>
      </c>
      <c r="C70" s="12" t="s">
        <v>73</v>
      </c>
      <c r="D70" s="21" t="s">
        <v>653</v>
      </c>
      <c r="E70" s="12" t="s">
        <v>22</v>
      </c>
      <c r="F70" s="12">
        <v>1</v>
      </c>
      <c r="G70" s="14" t="s">
        <v>703</v>
      </c>
      <c r="H70" s="15">
        <v>310000</v>
      </c>
      <c r="I70" s="15">
        <f t="shared" si="1"/>
        <v>310000</v>
      </c>
      <c r="J70" s="13" t="s">
        <v>654</v>
      </c>
    </row>
    <row r="71" spans="1:10" ht="12.5" x14ac:dyDescent="0.25">
      <c r="A71" s="12" t="s">
        <v>224</v>
      </c>
      <c r="B71" s="12">
        <v>13</v>
      </c>
      <c r="C71" s="12" t="s">
        <v>51</v>
      </c>
      <c r="D71" s="21" t="s">
        <v>1051</v>
      </c>
      <c r="E71" s="12" t="s">
        <v>22</v>
      </c>
      <c r="F71" s="12">
        <v>1</v>
      </c>
      <c r="G71" s="14" t="s">
        <v>703</v>
      </c>
      <c r="H71" s="15">
        <v>160000</v>
      </c>
      <c r="I71" s="15">
        <f t="shared" si="1"/>
        <v>160000</v>
      </c>
      <c r="J71" s="13" t="s">
        <v>1052</v>
      </c>
    </row>
    <row r="72" spans="1:10" ht="12.5" x14ac:dyDescent="0.25">
      <c r="A72" s="12" t="s">
        <v>226</v>
      </c>
      <c r="B72" s="12">
        <v>13</v>
      </c>
      <c r="C72" s="12" t="s">
        <v>51</v>
      </c>
      <c r="D72" s="21" t="s">
        <v>1053</v>
      </c>
      <c r="E72" s="12" t="s">
        <v>22</v>
      </c>
      <c r="F72" s="12">
        <v>1</v>
      </c>
      <c r="G72" s="14" t="s">
        <v>703</v>
      </c>
      <c r="H72" s="15">
        <v>230000</v>
      </c>
      <c r="I72" s="15">
        <f t="shared" si="1"/>
        <v>230000</v>
      </c>
      <c r="J72" s="13" t="s">
        <v>1054</v>
      </c>
    </row>
    <row r="73" spans="1:10" ht="12.5" x14ac:dyDescent="0.25">
      <c r="A73" s="12" t="s">
        <v>229</v>
      </c>
      <c r="B73" s="12">
        <v>13</v>
      </c>
      <c r="C73" s="12" t="s">
        <v>789</v>
      </c>
      <c r="D73" s="21" t="s">
        <v>1055</v>
      </c>
      <c r="E73" s="12" t="s">
        <v>22</v>
      </c>
      <c r="F73" s="12">
        <v>1</v>
      </c>
      <c r="G73" s="14" t="s">
        <v>703</v>
      </c>
      <c r="H73" s="15">
        <v>165000</v>
      </c>
      <c r="I73" s="15">
        <f t="shared" si="1"/>
        <v>165000</v>
      </c>
      <c r="J73" s="13" t="s">
        <v>1056</v>
      </c>
    </row>
    <row r="74" spans="1:10" ht="12.5" x14ac:dyDescent="0.25">
      <c r="A74" s="12" t="s">
        <v>232</v>
      </c>
      <c r="B74" s="12">
        <v>13</v>
      </c>
      <c r="C74" s="12" t="s">
        <v>83</v>
      </c>
      <c r="D74" s="21" t="s">
        <v>652</v>
      </c>
      <c r="E74" s="12" t="s">
        <v>22</v>
      </c>
      <c r="F74" s="12">
        <v>1</v>
      </c>
      <c r="G74" s="14" t="s">
        <v>703</v>
      </c>
      <c r="H74" s="15">
        <v>140000</v>
      </c>
      <c r="I74" s="15">
        <f t="shared" si="1"/>
        <v>140000</v>
      </c>
      <c r="J74" s="13" t="s">
        <v>1057</v>
      </c>
    </row>
    <row r="75" spans="1:10" ht="12.5" x14ac:dyDescent="0.25">
      <c r="A75" s="12" t="s">
        <v>235</v>
      </c>
      <c r="B75" s="12">
        <v>14</v>
      </c>
      <c r="C75" s="12" t="s">
        <v>51</v>
      </c>
      <c r="D75" s="21" t="s">
        <v>1058</v>
      </c>
      <c r="E75" s="12" t="s">
        <v>22</v>
      </c>
      <c r="F75" s="12">
        <v>1</v>
      </c>
      <c r="G75" s="14" t="s">
        <v>703</v>
      </c>
      <c r="H75" s="15">
        <v>270000</v>
      </c>
      <c r="I75" s="15">
        <f t="shared" si="1"/>
        <v>270000</v>
      </c>
      <c r="J75" s="13" t="s">
        <v>1059</v>
      </c>
    </row>
    <row r="76" spans="1:10" ht="12.5" x14ac:dyDescent="0.25">
      <c r="A76" s="12" t="s">
        <v>238</v>
      </c>
      <c r="B76" s="12">
        <v>14</v>
      </c>
      <c r="C76" s="12" t="s">
        <v>51</v>
      </c>
      <c r="D76" s="21" t="s">
        <v>1060</v>
      </c>
      <c r="E76" s="12" t="s">
        <v>22</v>
      </c>
      <c r="F76" s="12">
        <v>1</v>
      </c>
      <c r="G76" s="14" t="s">
        <v>703</v>
      </c>
      <c r="H76" s="15">
        <v>300000</v>
      </c>
      <c r="I76" s="15">
        <f t="shared" si="1"/>
        <v>300000</v>
      </c>
      <c r="J76" s="13" t="s">
        <v>1061</v>
      </c>
    </row>
    <row r="77" spans="1:10" ht="12.5" x14ac:dyDescent="0.25">
      <c r="A77" s="12" t="s">
        <v>241</v>
      </c>
      <c r="B77" s="12">
        <v>15</v>
      </c>
      <c r="C77" s="12" t="s">
        <v>789</v>
      </c>
      <c r="D77" s="21" t="s">
        <v>1062</v>
      </c>
      <c r="E77" s="12" t="s">
        <v>22</v>
      </c>
      <c r="F77" s="12">
        <v>1</v>
      </c>
      <c r="G77" s="14" t="s">
        <v>703</v>
      </c>
      <c r="H77" s="15">
        <v>90000</v>
      </c>
      <c r="I77" s="15">
        <f t="shared" si="1"/>
        <v>90000</v>
      </c>
      <c r="J77" s="13" t="s">
        <v>1063</v>
      </c>
    </row>
    <row r="78" spans="1:10" ht="12.5" x14ac:dyDescent="0.25">
      <c r="A78" s="12" t="s">
        <v>244</v>
      </c>
      <c r="B78" s="12">
        <v>15</v>
      </c>
      <c r="C78" s="12" t="s">
        <v>51</v>
      </c>
      <c r="D78" s="21" t="s">
        <v>1064</v>
      </c>
      <c r="E78" s="12" t="s">
        <v>22</v>
      </c>
      <c r="F78" s="12">
        <v>1</v>
      </c>
      <c r="G78" s="14" t="s">
        <v>703</v>
      </c>
      <c r="H78" s="15">
        <v>350000</v>
      </c>
      <c r="I78" s="15">
        <f t="shared" si="1"/>
        <v>350000</v>
      </c>
      <c r="J78" s="13" t="s">
        <v>1065</v>
      </c>
    </row>
    <row r="79" spans="1:10" ht="12.5" x14ac:dyDescent="0.25">
      <c r="A79" s="12" t="s">
        <v>247</v>
      </c>
      <c r="B79" s="12">
        <v>15</v>
      </c>
      <c r="C79" s="12" t="s">
        <v>51</v>
      </c>
      <c r="D79" s="21" t="s">
        <v>1066</v>
      </c>
      <c r="E79" s="12" t="s">
        <v>22</v>
      </c>
      <c r="F79" s="12">
        <v>1</v>
      </c>
      <c r="G79" s="14" t="s">
        <v>703</v>
      </c>
      <c r="H79" s="15">
        <v>235000</v>
      </c>
      <c r="I79" s="15">
        <f t="shared" si="1"/>
        <v>235000</v>
      </c>
      <c r="J79" s="13" t="s">
        <v>1067</v>
      </c>
    </row>
    <row r="80" spans="1:10" ht="12.5" x14ac:dyDescent="0.25">
      <c r="A80" s="12" t="s">
        <v>250</v>
      </c>
      <c r="B80" s="12">
        <v>15</v>
      </c>
      <c r="C80" s="12" t="s">
        <v>51</v>
      </c>
      <c r="D80" s="21" t="s">
        <v>1068</v>
      </c>
      <c r="E80" s="12" t="s">
        <v>22</v>
      </c>
      <c r="F80" s="12">
        <v>1</v>
      </c>
      <c r="G80" s="14" t="s">
        <v>703</v>
      </c>
      <c r="H80" s="15">
        <v>110000</v>
      </c>
      <c r="I80" s="15">
        <f t="shared" si="1"/>
        <v>110000</v>
      </c>
      <c r="J80" s="13" t="s">
        <v>1069</v>
      </c>
    </row>
    <row r="81" spans="1:10" ht="12.5" x14ac:dyDescent="0.25">
      <c r="A81" s="12" t="s">
        <v>253</v>
      </c>
      <c r="B81" s="12">
        <v>16</v>
      </c>
      <c r="C81" s="12" t="s">
        <v>83</v>
      </c>
      <c r="D81" s="21" t="s">
        <v>826</v>
      </c>
      <c r="E81" s="12" t="s">
        <v>22</v>
      </c>
      <c r="F81" s="12">
        <v>1</v>
      </c>
      <c r="G81" s="14" t="s">
        <v>703</v>
      </c>
      <c r="H81" s="15">
        <v>150000</v>
      </c>
      <c r="I81" s="15">
        <f t="shared" si="1"/>
        <v>150000</v>
      </c>
      <c r="J81" s="13" t="s">
        <v>386</v>
      </c>
    </row>
    <row r="82" spans="1:10" ht="12.5" x14ac:dyDescent="0.25">
      <c r="A82" s="12" t="s">
        <v>256</v>
      </c>
      <c r="B82" s="12">
        <v>17</v>
      </c>
      <c r="C82" s="12" t="s">
        <v>51</v>
      </c>
      <c r="D82" s="21" t="s">
        <v>179</v>
      </c>
      <c r="E82" s="12" t="s">
        <v>22</v>
      </c>
      <c r="F82" s="12">
        <v>1</v>
      </c>
      <c r="G82" s="14" t="s">
        <v>703</v>
      </c>
      <c r="H82" s="15">
        <v>140000</v>
      </c>
      <c r="I82" s="15">
        <f t="shared" si="1"/>
        <v>140000</v>
      </c>
      <c r="J82" s="21" t="s">
        <v>1070</v>
      </c>
    </row>
    <row r="83" spans="1:10" ht="12.5" x14ac:dyDescent="0.25">
      <c r="A83" s="12" t="s">
        <v>258</v>
      </c>
      <c r="B83" s="12">
        <v>17</v>
      </c>
      <c r="C83" s="12" t="s">
        <v>73</v>
      </c>
      <c r="D83" s="21" t="s">
        <v>1071</v>
      </c>
      <c r="E83" s="12" t="s">
        <v>22</v>
      </c>
      <c r="F83" s="12">
        <v>1</v>
      </c>
      <c r="G83" s="14" t="s">
        <v>703</v>
      </c>
      <c r="H83" s="15">
        <v>910000</v>
      </c>
      <c r="I83" s="15">
        <f t="shared" si="1"/>
        <v>910000</v>
      </c>
      <c r="J83" s="13" t="s">
        <v>1072</v>
      </c>
    </row>
    <row r="84" spans="1:10" ht="12.5" x14ac:dyDescent="0.25">
      <c r="A84" s="12" t="s">
        <v>261</v>
      </c>
      <c r="B84" s="12">
        <v>18</v>
      </c>
      <c r="C84" s="12" t="s">
        <v>51</v>
      </c>
      <c r="D84" s="21" t="s">
        <v>1073</v>
      </c>
      <c r="E84" s="12" t="s">
        <v>22</v>
      </c>
      <c r="F84" s="12">
        <v>1</v>
      </c>
      <c r="G84" s="14" t="s">
        <v>703</v>
      </c>
      <c r="H84" s="15">
        <v>75000</v>
      </c>
      <c r="I84" s="15">
        <f t="shared" si="1"/>
        <v>75000</v>
      </c>
      <c r="J84" s="13" t="s">
        <v>1074</v>
      </c>
    </row>
    <row r="85" spans="1:10" ht="12.5" x14ac:dyDescent="0.25">
      <c r="A85" s="12" t="s">
        <v>265</v>
      </c>
      <c r="B85" s="12">
        <v>18</v>
      </c>
      <c r="C85" s="12" t="s">
        <v>51</v>
      </c>
      <c r="D85" s="21" t="s">
        <v>86</v>
      </c>
      <c r="E85" s="12" t="s">
        <v>22</v>
      </c>
      <c r="F85" s="12">
        <v>1</v>
      </c>
      <c r="G85" s="14" t="s">
        <v>703</v>
      </c>
      <c r="H85" s="15">
        <v>350000</v>
      </c>
      <c r="I85" s="15">
        <f t="shared" si="1"/>
        <v>350000</v>
      </c>
      <c r="J85" s="13" t="s">
        <v>1075</v>
      </c>
    </row>
    <row r="86" spans="1:10" ht="12.5" x14ac:dyDescent="0.25">
      <c r="A86" s="12" t="s">
        <v>266</v>
      </c>
      <c r="B86" s="12">
        <v>18</v>
      </c>
      <c r="C86" s="12" t="s">
        <v>51</v>
      </c>
      <c r="D86" s="21" t="s">
        <v>179</v>
      </c>
      <c r="E86" s="12" t="s">
        <v>22</v>
      </c>
      <c r="F86" s="12">
        <v>1</v>
      </c>
      <c r="G86" s="14" t="s">
        <v>703</v>
      </c>
      <c r="H86" s="15">
        <v>350000</v>
      </c>
      <c r="I86" s="15">
        <f t="shared" si="1"/>
        <v>350000</v>
      </c>
      <c r="J86" s="13" t="s">
        <v>1076</v>
      </c>
    </row>
    <row r="87" spans="1:10" ht="12.5" x14ac:dyDescent="0.25">
      <c r="A87" s="12" t="s">
        <v>267</v>
      </c>
      <c r="B87" s="12">
        <v>18</v>
      </c>
      <c r="C87" s="12" t="s">
        <v>51</v>
      </c>
      <c r="D87" s="21" t="s">
        <v>1077</v>
      </c>
      <c r="E87" s="12" t="s">
        <v>22</v>
      </c>
      <c r="F87" s="12">
        <v>1</v>
      </c>
      <c r="G87" s="14" t="s">
        <v>703</v>
      </c>
      <c r="H87" s="15">
        <v>55000</v>
      </c>
      <c r="I87" s="15">
        <f t="shared" si="1"/>
        <v>55000</v>
      </c>
      <c r="J87" s="13" t="s">
        <v>1078</v>
      </c>
    </row>
    <row r="88" spans="1:10" ht="12.5" x14ac:dyDescent="0.25">
      <c r="A88" s="12" t="s">
        <v>268</v>
      </c>
      <c r="B88" s="12">
        <v>19</v>
      </c>
      <c r="C88" s="12" t="s">
        <v>51</v>
      </c>
      <c r="D88" s="21" t="s">
        <v>179</v>
      </c>
      <c r="E88" s="12" t="s">
        <v>22</v>
      </c>
      <c r="F88" s="12">
        <v>1</v>
      </c>
      <c r="G88" s="14" t="s">
        <v>703</v>
      </c>
      <c r="H88" s="15">
        <v>95000</v>
      </c>
      <c r="I88" s="15">
        <f t="shared" si="1"/>
        <v>95000</v>
      </c>
      <c r="J88" s="13" t="s">
        <v>93</v>
      </c>
    </row>
    <row r="89" spans="1:10" ht="12.5" x14ac:dyDescent="0.25">
      <c r="A89" s="12" t="s">
        <v>270</v>
      </c>
      <c r="B89" s="12">
        <v>19</v>
      </c>
      <c r="C89" s="12" t="s">
        <v>51</v>
      </c>
      <c r="D89" s="21" t="s">
        <v>1079</v>
      </c>
      <c r="E89" s="12" t="s">
        <v>22</v>
      </c>
      <c r="F89" s="12">
        <v>1</v>
      </c>
      <c r="G89" s="14" t="s">
        <v>703</v>
      </c>
      <c r="H89" s="15">
        <v>100000</v>
      </c>
      <c r="I89" s="15">
        <f t="shared" si="1"/>
        <v>100000</v>
      </c>
      <c r="J89" s="13" t="s">
        <v>1080</v>
      </c>
    </row>
    <row r="90" spans="1:10" ht="12.5" x14ac:dyDescent="0.25">
      <c r="A90" s="12" t="s">
        <v>271</v>
      </c>
      <c r="B90" s="12">
        <v>19</v>
      </c>
      <c r="C90" s="12" t="s">
        <v>51</v>
      </c>
      <c r="D90" s="21" t="s">
        <v>653</v>
      </c>
      <c r="E90" s="12" t="s">
        <v>22</v>
      </c>
      <c r="F90" s="12">
        <v>1</v>
      </c>
      <c r="G90" s="14" t="s">
        <v>703</v>
      </c>
      <c r="H90" s="15">
        <v>105000</v>
      </c>
      <c r="I90" s="15">
        <f t="shared" si="1"/>
        <v>105000</v>
      </c>
      <c r="J90" s="13" t="s">
        <v>1081</v>
      </c>
    </row>
    <row r="91" spans="1:10" ht="12.5" x14ac:dyDescent="0.25">
      <c r="A91" s="12" t="s">
        <v>272</v>
      </c>
      <c r="B91" s="12">
        <v>20</v>
      </c>
      <c r="C91" s="12" t="s">
        <v>789</v>
      </c>
      <c r="D91" s="21" t="s">
        <v>1082</v>
      </c>
      <c r="E91" s="12" t="s">
        <v>22</v>
      </c>
      <c r="F91" s="12">
        <v>1</v>
      </c>
      <c r="G91" s="14" t="s">
        <v>703</v>
      </c>
      <c r="H91" s="15">
        <v>350000</v>
      </c>
      <c r="I91" s="15">
        <f t="shared" si="1"/>
        <v>350000</v>
      </c>
      <c r="J91" s="13" t="s">
        <v>1083</v>
      </c>
    </row>
    <row r="92" spans="1:10" ht="12.5" x14ac:dyDescent="0.25">
      <c r="A92" s="12" t="s">
        <v>273</v>
      </c>
      <c r="B92" s="12">
        <v>20</v>
      </c>
      <c r="C92" s="12" t="s">
        <v>51</v>
      </c>
      <c r="D92" s="13" t="s">
        <v>179</v>
      </c>
      <c r="E92" s="12" t="s">
        <v>22</v>
      </c>
      <c r="F92" s="12">
        <v>1</v>
      </c>
      <c r="G92" s="14" t="s">
        <v>703</v>
      </c>
      <c r="H92" s="15">
        <v>215000</v>
      </c>
      <c r="I92" s="15">
        <f t="shared" si="1"/>
        <v>215000</v>
      </c>
      <c r="J92" s="13" t="s">
        <v>1084</v>
      </c>
    </row>
    <row r="93" spans="1:10" ht="12.5" x14ac:dyDescent="0.25">
      <c r="A93" s="12" t="s">
        <v>274</v>
      </c>
      <c r="B93" s="12">
        <v>20</v>
      </c>
      <c r="C93" s="12" t="s">
        <v>51</v>
      </c>
      <c r="D93" s="13" t="s">
        <v>1046</v>
      </c>
      <c r="E93" s="12" t="s">
        <v>22</v>
      </c>
      <c r="F93" s="12">
        <v>1</v>
      </c>
      <c r="G93" s="14" t="s">
        <v>703</v>
      </c>
      <c r="H93" s="15">
        <v>370000</v>
      </c>
      <c r="I93" s="15">
        <f t="shared" si="1"/>
        <v>370000</v>
      </c>
      <c r="J93" s="13" t="s">
        <v>1085</v>
      </c>
    </row>
    <row r="94" spans="1:10" ht="12.5" x14ac:dyDescent="0.25">
      <c r="A94" s="12" t="s">
        <v>275</v>
      </c>
      <c r="B94" s="12">
        <v>20</v>
      </c>
      <c r="C94" s="12" t="s">
        <v>51</v>
      </c>
      <c r="D94" s="13" t="s">
        <v>173</v>
      </c>
      <c r="E94" s="12" t="s">
        <v>22</v>
      </c>
      <c r="F94" s="12">
        <v>1</v>
      </c>
      <c r="G94" s="14" t="s">
        <v>703</v>
      </c>
      <c r="H94" s="15">
        <v>210000</v>
      </c>
      <c r="I94" s="15">
        <f t="shared" si="1"/>
        <v>210000</v>
      </c>
      <c r="J94" s="13" t="s">
        <v>953</v>
      </c>
    </row>
    <row r="95" spans="1:10" ht="12.5" x14ac:dyDescent="0.25">
      <c r="A95" s="12" t="s">
        <v>276</v>
      </c>
      <c r="B95" s="12">
        <v>20</v>
      </c>
      <c r="C95" s="12" t="s">
        <v>51</v>
      </c>
      <c r="D95" s="13" t="s">
        <v>1086</v>
      </c>
      <c r="E95" s="12" t="s">
        <v>22</v>
      </c>
      <c r="F95" s="12">
        <v>1</v>
      </c>
      <c r="G95" s="14" t="s">
        <v>703</v>
      </c>
      <c r="H95" s="15">
        <v>715000</v>
      </c>
      <c r="I95" s="15">
        <f t="shared" si="1"/>
        <v>715000</v>
      </c>
      <c r="J95" s="13" t="s">
        <v>459</v>
      </c>
    </row>
    <row r="96" spans="1:10" ht="12.5" x14ac:dyDescent="0.25">
      <c r="A96" s="12" t="s">
        <v>277</v>
      </c>
      <c r="B96" s="12">
        <v>21</v>
      </c>
      <c r="C96" s="12" t="s">
        <v>51</v>
      </c>
      <c r="D96" s="13" t="s">
        <v>1087</v>
      </c>
      <c r="E96" s="12" t="s">
        <v>22</v>
      </c>
      <c r="F96" s="12">
        <v>1</v>
      </c>
      <c r="G96" s="14" t="s">
        <v>703</v>
      </c>
      <c r="H96" s="15">
        <v>125000</v>
      </c>
      <c r="I96" s="15">
        <f t="shared" si="1"/>
        <v>125000</v>
      </c>
      <c r="J96" s="13" t="s">
        <v>1088</v>
      </c>
    </row>
    <row r="97" spans="1:10" ht="12.5" x14ac:dyDescent="0.25">
      <c r="A97" s="12" t="s">
        <v>278</v>
      </c>
      <c r="B97" s="12">
        <v>21</v>
      </c>
      <c r="C97" s="12" t="s">
        <v>51</v>
      </c>
      <c r="D97" s="13" t="s">
        <v>1089</v>
      </c>
      <c r="E97" s="12" t="s">
        <v>22</v>
      </c>
      <c r="F97" s="12">
        <v>1</v>
      </c>
      <c r="G97" s="14" t="s">
        <v>703</v>
      </c>
      <c r="H97" s="15">
        <v>225000</v>
      </c>
      <c r="I97" s="15">
        <f t="shared" si="1"/>
        <v>225000</v>
      </c>
      <c r="J97" s="13" t="s">
        <v>102</v>
      </c>
    </row>
    <row r="98" spans="1:10" ht="12.5" x14ac:dyDescent="0.25">
      <c r="A98" s="12" t="s">
        <v>279</v>
      </c>
      <c r="B98" s="12">
        <v>22</v>
      </c>
      <c r="C98" s="12" t="s">
        <v>51</v>
      </c>
      <c r="D98" s="13" t="s">
        <v>1016</v>
      </c>
      <c r="E98" s="12" t="s">
        <v>22</v>
      </c>
      <c r="F98" s="12">
        <v>1</v>
      </c>
      <c r="G98" s="14" t="s">
        <v>703</v>
      </c>
      <c r="H98" s="15">
        <v>135000</v>
      </c>
      <c r="I98" s="15">
        <f t="shared" si="1"/>
        <v>135000</v>
      </c>
      <c r="J98" s="14" t="s">
        <v>1017</v>
      </c>
    </row>
    <row r="99" spans="1:10" ht="12.5" x14ac:dyDescent="0.25">
      <c r="A99" s="12" t="s">
        <v>280</v>
      </c>
      <c r="B99" s="12">
        <v>22</v>
      </c>
      <c r="C99" s="12" t="s">
        <v>51</v>
      </c>
      <c r="D99" s="13" t="s">
        <v>173</v>
      </c>
      <c r="E99" s="12" t="s">
        <v>22</v>
      </c>
      <c r="F99" s="12">
        <v>1</v>
      </c>
      <c r="G99" s="14" t="s">
        <v>703</v>
      </c>
      <c r="H99" s="15">
        <v>130000</v>
      </c>
      <c r="I99" s="15">
        <f t="shared" si="1"/>
        <v>130000</v>
      </c>
      <c r="J99" s="13" t="s">
        <v>1090</v>
      </c>
    </row>
    <row r="100" spans="1:10" ht="12.5" x14ac:dyDescent="0.25">
      <c r="A100" s="12" t="s">
        <v>281</v>
      </c>
      <c r="B100" s="12">
        <v>23</v>
      </c>
      <c r="C100" s="12" t="s">
        <v>51</v>
      </c>
      <c r="D100" s="13" t="s">
        <v>1058</v>
      </c>
      <c r="E100" s="12" t="s">
        <v>22</v>
      </c>
      <c r="F100" s="12">
        <v>1</v>
      </c>
      <c r="G100" s="14" t="s">
        <v>703</v>
      </c>
      <c r="H100" s="15">
        <v>460000</v>
      </c>
      <c r="I100" s="15">
        <f t="shared" si="1"/>
        <v>460000</v>
      </c>
      <c r="J100" s="21" t="s">
        <v>1091</v>
      </c>
    </row>
    <row r="101" spans="1:10" ht="12.5" x14ac:dyDescent="0.25">
      <c r="A101" s="12" t="s">
        <v>282</v>
      </c>
      <c r="B101" s="12">
        <v>25</v>
      </c>
      <c r="C101" s="12" t="s">
        <v>51</v>
      </c>
      <c r="D101" s="13" t="s">
        <v>1068</v>
      </c>
      <c r="E101" s="12" t="s">
        <v>22</v>
      </c>
      <c r="F101" s="12">
        <v>1</v>
      </c>
      <c r="G101" s="14" t="s">
        <v>703</v>
      </c>
      <c r="H101" s="15">
        <v>470000</v>
      </c>
      <c r="I101" s="15">
        <f t="shared" si="1"/>
        <v>470000</v>
      </c>
      <c r="J101" s="13" t="s">
        <v>1092</v>
      </c>
    </row>
    <row r="102" spans="1:10" ht="12.5" x14ac:dyDescent="0.25">
      <c r="A102" s="12" t="s">
        <v>283</v>
      </c>
      <c r="B102" s="12">
        <v>25</v>
      </c>
      <c r="C102" s="12" t="s">
        <v>51</v>
      </c>
      <c r="D102" s="13" t="s">
        <v>1093</v>
      </c>
      <c r="E102" s="12" t="s">
        <v>22</v>
      </c>
      <c r="F102" s="12">
        <v>1</v>
      </c>
      <c r="G102" s="14" t="s">
        <v>703</v>
      </c>
      <c r="H102" s="15">
        <v>130000</v>
      </c>
      <c r="I102" s="15">
        <f t="shared" si="1"/>
        <v>130000</v>
      </c>
      <c r="J102" s="13" t="s">
        <v>1094</v>
      </c>
    </row>
    <row r="103" spans="1:10" ht="12.5" x14ac:dyDescent="0.25">
      <c r="A103" s="12">
        <v>84</v>
      </c>
      <c r="B103" s="12">
        <v>25</v>
      </c>
      <c r="C103" s="12" t="s">
        <v>51</v>
      </c>
      <c r="D103" s="13" t="s">
        <v>1058</v>
      </c>
      <c r="E103" s="12" t="s">
        <v>22</v>
      </c>
      <c r="F103" s="12">
        <v>1</v>
      </c>
      <c r="G103" s="14" t="s">
        <v>703</v>
      </c>
      <c r="H103" s="15">
        <v>260000</v>
      </c>
      <c r="I103" s="15">
        <f t="shared" si="1"/>
        <v>260000</v>
      </c>
      <c r="J103" s="13" t="s">
        <v>1095</v>
      </c>
    </row>
    <row r="104" spans="1:10" ht="12.5" x14ac:dyDescent="0.25">
      <c r="A104" s="12" t="s">
        <v>285</v>
      </c>
      <c r="B104" s="12">
        <v>25</v>
      </c>
      <c r="C104" s="12" t="s">
        <v>789</v>
      </c>
      <c r="D104" s="13" t="s">
        <v>1096</v>
      </c>
      <c r="E104" s="12" t="s">
        <v>22</v>
      </c>
      <c r="F104" s="12">
        <v>1</v>
      </c>
      <c r="G104" s="14" t="s">
        <v>703</v>
      </c>
      <c r="H104" s="15">
        <v>125000</v>
      </c>
      <c r="I104" s="15">
        <f t="shared" si="1"/>
        <v>125000</v>
      </c>
      <c r="J104" s="13" t="s">
        <v>1097</v>
      </c>
    </row>
    <row r="105" spans="1:10" ht="12.5" x14ac:dyDescent="0.25">
      <c r="A105" s="12" t="s">
        <v>286</v>
      </c>
      <c r="B105" s="12">
        <v>26</v>
      </c>
      <c r="C105" s="12" t="s">
        <v>51</v>
      </c>
      <c r="D105" s="13" t="s">
        <v>1098</v>
      </c>
      <c r="E105" s="12" t="s">
        <v>22</v>
      </c>
      <c r="F105" s="12">
        <v>1</v>
      </c>
      <c r="G105" s="14" t="s">
        <v>703</v>
      </c>
      <c r="H105" s="15">
        <v>100000</v>
      </c>
      <c r="I105" s="15">
        <f t="shared" si="1"/>
        <v>100000</v>
      </c>
      <c r="J105" s="13" t="s">
        <v>1094</v>
      </c>
    </row>
    <row r="106" spans="1:10" ht="12.5" x14ac:dyDescent="0.25">
      <c r="A106" s="12" t="s">
        <v>287</v>
      </c>
      <c r="B106" s="12">
        <v>30</v>
      </c>
      <c r="C106" s="12" t="s">
        <v>51</v>
      </c>
      <c r="D106" s="13" t="s">
        <v>1099</v>
      </c>
      <c r="E106" s="12" t="s">
        <v>22</v>
      </c>
      <c r="F106" s="12">
        <v>1</v>
      </c>
      <c r="G106" s="14" t="s">
        <v>703</v>
      </c>
      <c r="H106" s="15">
        <v>450000</v>
      </c>
      <c r="I106" s="15">
        <f t="shared" si="1"/>
        <v>450000</v>
      </c>
      <c r="J106" s="13" t="s">
        <v>459</v>
      </c>
    </row>
    <row r="107" spans="1:10" ht="12.5" x14ac:dyDescent="0.25">
      <c r="A107" s="12" t="s">
        <v>289</v>
      </c>
      <c r="B107" s="12">
        <v>30</v>
      </c>
      <c r="C107" s="12" t="s">
        <v>51</v>
      </c>
      <c r="D107" s="13" t="s">
        <v>1046</v>
      </c>
      <c r="E107" s="12" t="s">
        <v>22</v>
      </c>
      <c r="F107" s="12">
        <v>1</v>
      </c>
      <c r="G107" s="14" t="s">
        <v>703</v>
      </c>
      <c r="H107" s="15">
        <v>255000</v>
      </c>
      <c r="I107" s="15">
        <f t="shared" si="1"/>
        <v>255000</v>
      </c>
      <c r="J107" s="13" t="s">
        <v>1100</v>
      </c>
    </row>
    <row r="108" spans="1:10" ht="12.5" x14ac:dyDescent="0.25">
      <c r="A108" s="12" t="s">
        <v>290</v>
      </c>
      <c r="B108" s="12">
        <v>5</v>
      </c>
      <c r="C108" s="12" t="s">
        <v>51</v>
      </c>
      <c r="D108" s="13" t="s">
        <v>1101</v>
      </c>
      <c r="E108" s="12" t="s">
        <v>22</v>
      </c>
      <c r="F108" s="12">
        <v>1</v>
      </c>
      <c r="G108" s="14" t="s">
        <v>703</v>
      </c>
      <c r="H108" s="15">
        <v>1065000</v>
      </c>
      <c r="I108" s="15">
        <f t="shared" si="1"/>
        <v>1065000</v>
      </c>
      <c r="J108" s="13" t="s">
        <v>1101</v>
      </c>
    </row>
    <row r="109" spans="1:10" ht="12.5" x14ac:dyDescent="0.25">
      <c r="A109" s="12" t="s">
        <v>291</v>
      </c>
      <c r="B109" s="12">
        <v>20</v>
      </c>
      <c r="C109" s="12" t="s">
        <v>51</v>
      </c>
      <c r="D109" s="13" t="s">
        <v>1101</v>
      </c>
      <c r="E109" s="12" t="s">
        <v>22</v>
      </c>
      <c r="F109" s="12">
        <v>1</v>
      </c>
      <c r="G109" s="14" t="s">
        <v>703</v>
      </c>
      <c r="H109" s="15">
        <v>320000</v>
      </c>
      <c r="I109" s="15">
        <f t="shared" si="1"/>
        <v>320000</v>
      </c>
      <c r="J109" s="13" t="s">
        <v>1101</v>
      </c>
    </row>
    <row r="110" spans="1:10" ht="12.5" x14ac:dyDescent="0.25">
      <c r="A110" s="12" t="s">
        <v>292</v>
      </c>
      <c r="B110" s="12">
        <v>5</v>
      </c>
      <c r="C110" s="12" t="s">
        <v>51</v>
      </c>
      <c r="D110" s="13" t="s">
        <v>652</v>
      </c>
      <c r="E110" s="12" t="s">
        <v>22</v>
      </c>
      <c r="F110" s="12">
        <v>1</v>
      </c>
      <c r="G110" s="14" t="s">
        <v>703</v>
      </c>
      <c r="H110" s="15">
        <v>510000</v>
      </c>
      <c r="I110" s="15">
        <f t="shared" si="1"/>
        <v>510000</v>
      </c>
      <c r="J110" s="13" t="s">
        <v>652</v>
      </c>
    </row>
    <row r="111" spans="1:10" ht="12.5" x14ac:dyDescent="0.25">
      <c r="A111" s="12" t="s">
        <v>293</v>
      </c>
      <c r="B111" s="12">
        <v>5</v>
      </c>
      <c r="C111" s="12" t="s">
        <v>51</v>
      </c>
      <c r="D111" s="13" t="s">
        <v>652</v>
      </c>
      <c r="E111" s="12" t="s">
        <v>22</v>
      </c>
      <c r="F111" s="12">
        <v>1</v>
      </c>
      <c r="G111" s="14" t="s">
        <v>703</v>
      </c>
      <c r="H111" s="15">
        <v>200000</v>
      </c>
      <c r="I111" s="15">
        <f t="shared" si="1"/>
        <v>200000</v>
      </c>
      <c r="J111" s="13" t="s">
        <v>652</v>
      </c>
    </row>
    <row r="112" spans="1:10" ht="12.5" x14ac:dyDescent="0.25">
      <c r="A112" s="12" t="s">
        <v>294</v>
      </c>
      <c r="B112" s="12">
        <v>9</v>
      </c>
      <c r="C112" s="12" t="s">
        <v>73</v>
      </c>
      <c r="D112" s="13" t="s">
        <v>1102</v>
      </c>
      <c r="E112" s="12" t="s">
        <v>22</v>
      </c>
      <c r="F112" s="12">
        <v>1</v>
      </c>
      <c r="G112" s="14" t="s">
        <v>703</v>
      </c>
      <c r="H112" s="15">
        <v>112000</v>
      </c>
      <c r="I112" s="15">
        <f t="shared" si="1"/>
        <v>112000</v>
      </c>
      <c r="J112" s="13" t="s">
        <v>1103</v>
      </c>
    </row>
    <row r="113" spans="1:10" ht="12.5" x14ac:dyDescent="0.25">
      <c r="A113" s="12" t="s">
        <v>295</v>
      </c>
      <c r="B113" s="12">
        <v>13</v>
      </c>
      <c r="C113" s="12" t="s">
        <v>51</v>
      </c>
      <c r="D113" s="13" t="s">
        <v>1077</v>
      </c>
      <c r="E113" s="12" t="s">
        <v>22</v>
      </c>
      <c r="F113" s="12">
        <v>1</v>
      </c>
      <c r="G113" s="14" t="s">
        <v>703</v>
      </c>
      <c r="H113" s="15">
        <v>25000</v>
      </c>
      <c r="I113" s="15">
        <f t="shared" si="1"/>
        <v>25000</v>
      </c>
      <c r="J113" s="13" t="s">
        <v>672</v>
      </c>
    </row>
    <row r="114" spans="1:10" ht="12.5" x14ac:dyDescent="0.25">
      <c r="A114" s="12" t="s">
        <v>296</v>
      </c>
      <c r="B114" s="12">
        <v>17</v>
      </c>
      <c r="C114" s="12" t="s">
        <v>789</v>
      </c>
      <c r="D114" s="13" t="s">
        <v>1104</v>
      </c>
      <c r="E114" s="12" t="s">
        <v>22</v>
      </c>
      <c r="F114" s="12">
        <v>1</v>
      </c>
      <c r="G114" s="14" t="s">
        <v>703</v>
      </c>
      <c r="H114" s="15">
        <v>200000</v>
      </c>
      <c r="I114" s="15">
        <f t="shared" si="1"/>
        <v>200000</v>
      </c>
      <c r="J114" s="13" t="s">
        <v>1105</v>
      </c>
    </row>
    <row r="115" spans="1:10" ht="12.5" x14ac:dyDescent="0.25">
      <c r="A115" s="12" t="s">
        <v>297</v>
      </c>
      <c r="B115" s="12">
        <v>30</v>
      </c>
      <c r="C115" s="12" t="s">
        <v>10</v>
      </c>
      <c r="D115" s="13" t="s">
        <v>1106</v>
      </c>
      <c r="E115" s="12" t="s">
        <v>22</v>
      </c>
      <c r="F115" s="12">
        <v>1</v>
      </c>
      <c r="G115" s="14" t="s">
        <v>703</v>
      </c>
      <c r="H115" s="15">
        <v>150000</v>
      </c>
      <c r="I115" s="15">
        <f t="shared" si="1"/>
        <v>150000</v>
      </c>
      <c r="J115" s="13" t="s">
        <v>1103</v>
      </c>
    </row>
    <row r="116" spans="1:10" ht="12.5" x14ac:dyDescent="0.25">
      <c r="A116" s="12" t="s">
        <v>298</v>
      </c>
      <c r="B116" s="12">
        <v>30</v>
      </c>
      <c r="C116" s="12" t="s">
        <v>10</v>
      </c>
      <c r="D116" s="13" t="s">
        <v>1107</v>
      </c>
      <c r="E116" s="12" t="s">
        <v>22</v>
      </c>
      <c r="F116" s="12">
        <v>1</v>
      </c>
      <c r="G116" s="14" t="s">
        <v>703</v>
      </c>
      <c r="H116" s="15">
        <v>134000</v>
      </c>
      <c r="I116" s="15">
        <f t="shared" si="1"/>
        <v>134000</v>
      </c>
      <c r="J116" s="13" t="s">
        <v>1108</v>
      </c>
    </row>
    <row r="117" spans="1:10" ht="12.5" x14ac:dyDescent="0.25">
      <c r="A117" s="12"/>
      <c r="B117" s="12"/>
      <c r="C117" s="12"/>
      <c r="D117" s="13"/>
      <c r="E117" s="12"/>
      <c r="F117" s="12"/>
      <c r="G117" s="14"/>
      <c r="H117" s="15"/>
      <c r="I117" s="15">
        <f t="shared" si="1"/>
        <v>0</v>
      </c>
      <c r="J117" s="13"/>
    </row>
    <row r="118" spans="1:10" ht="12.5" x14ac:dyDescent="0.25">
      <c r="A118" s="12"/>
      <c r="B118" s="12"/>
      <c r="C118" s="12"/>
      <c r="D118" s="13"/>
      <c r="E118" s="12"/>
      <c r="F118" s="12"/>
      <c r="G118" s="14"/>
      <c r="H118" s="15"/>
      <c r="I118" s="15">
        <f t="shared" si="1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1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1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1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1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1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1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1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1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1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1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1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1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1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1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1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1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1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1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1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1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1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1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1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1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1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1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1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1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1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1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1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1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1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1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1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1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1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1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1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1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1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1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1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1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1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1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1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1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1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1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1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1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1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1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1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1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1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1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1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1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1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1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1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1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1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1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1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1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1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1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1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1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1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1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1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1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A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3">
    <dataValidation type="list" allowBlank="1" showErrorMessage="1" sqref="E20:E194" xr:uid="{00000000-0002-0000-0A00-000000000000}">
      <formula1>"One Time,Reccuring"</formula1>
    </dataValidation>
    <dataValidation type="list" allowBlank="1" showErrorMessage="1" sqref="P18 C20:C34 C37:C194" xr:uid="{00000000-0002-0000-0A00-000001000000}">
      <formula1>"Stock Dagangan,Stock Bahan,Operational,Packing,Tenant,Gaji Karyawan,Team,Iklan,Aset Toko"</formula1>
    </dataValidation>
    <dataValidation type="list" allowBlank="1" showErrorMessage="1" sqref="C35:C36" xr:uid="{00000000-0002-0000-0A00-000002000000}">
      <formula1>"Stock Dagangan,Stock Bahan,Operational,Packing,Tenant,Gaji Karyawan,Team,Iklan,Aset toko"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155CC"/>
    <outlinePr summaryBelow="0" summaryRight="0"/>
  </sheetPr>
  <dimension ref="A1:Y1009"/>
  <sheetViews>
    <sheetView topLeftCell="A18" zoomScale="74" workbookViewId="0"/>
  </sheetViews>
  <sheetFormatPr defaultColWidth="12.6328125" defaultRowHeight="15.75" customHeight="1" x14ac:dyDescent="0.25"/>
  <cols>
    <col min="1" max="1" width="6.453125" customWidth="1"/>
    <col min="2" max="2" width="7.26953125" customWidth="1"/>
    <col min="3" max="4" width="21.36328125" customWidth="1"/>
    <col min="5" max="5" width="17.453125" customWidth="1"/>
    <col min="6" max="6" width="7.453125" customWidth="1"/>
    <col min="10" max="10" width="35.453125" customWidth="1"/>
    <col min="14" max="14" width="7" customWidth="1"/>
    <col min="15" max="15" width="6.6328125" customWidth="1"/>
    <col min="16" max="16" width="20.26953125" customWidth="1"/>
    <col min="17" max="17" width="20" customWidth="1"/>
    <col min="18" max="18" width="13.26953125" customWidth="1"/>
    <col min="22" max="22" width="15.6328125" customWidth="1"/>
    <col min="23" max="23" width="34.26953125" customWidth="1"/>
  </cols>
  <sheetData>
    <row r="1" spans="1:20" ht="15.7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N1" s="2"/>
      <c r="O1" s="2"/>
      <c r="P1" s="2"/>
      <c r="R1" s="3" t="s">
        <v>0</v>
      </c>
      <c r="S1" s="22" t="e">
        <f>'[1]Daily Revenue'!AL30</f>
        <v>#REF!</v>
      </c>
      <c r="T1" s="23"/>
    </row>
    <row r="2" spans="1:20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N2" s="2"/>
      <c r="R2" s="3" t="s">
        <v>1</v>
      </c>
      <c r="S2" s="24">
        <f>K19</f>
        <v>15269500</v>
      </c>
      <c r="T2" s="23"/>
    </row>
    <row r="3" spans="1:20" ht="15.75" customHeight="1" x14ac:dyDescent="0.5">
      <c r="A3" s="1"/>
      <c r="B3" s="1"/>
      <c r="C3" s="1"/>
      <c r="D3" s="1"/>
      <c r="E3" s="1"/>
      <c r="F3" s="1"/>
      <c r="G3" s="1"/>
      <c r="H3" s="1"/>
      <c r="I3" s="1"/>
      <c r="J3" s="1"/>
      <c r="N3" s="2"/>
      <c r="R3" s="4" t="s">
        <v>2</v>
      </c>
      <c r="S3" s="5" t="e">
        <f>S1-S2</f>
        <v>#REF!</v>
      </c>
      <c r="T3" s="25" t="e">
        <f>S3/S4*100%</f>
        <v>#REF!</v>
      </c>
    </row>
    <row r="4" spans="1:20" ht="15.75" customHeight="1" x14ac:dyDescent="0.5">
      <c r="A4" s="1"/>
      <c r="B4" s="1"/>
      <c r="C4" s="1"/>
      <c r="D4" s="1"/>
      <c r="E4" s="1"/>
      <c r="F4" s="1"/>
      <c r="G4" s="1"/>
      <c r="H4" s="1"/>
      <c r="I4" s="1"/>
      <c r="J4" s="1"/>
      <c r="N4" s="2"/>
      <c r="O4" s="2"/>
      <c r="P4" s="2"/>
      <c r="R4" s="4" t="s">
        <v>3</v>
      </c>
      <c r="S4" s="6">
        <v>15000000</v>
      </c>
      <c r="T4" s="23"/>
    </row>
    <row r="5" spans="1:20" ht="15.75" customHeight="1" x14ac:dyDescent="0.5">
      <c r="A5" s="1"/>
      <c r="B5" s="1"/>
      <c r="C5" s="1"/>
      <c r="D5" s="1"/>
      <c r="E5" s="1"/>
      <c r="F5" s="1"/>
      <c r="G5" s="1"/>
      <c r="H5" s="1"/>
      <c r="I5" s="1"/>
      <c r="J5" s="1"/>
      <c r="N5" s="2"/>
      <c r="O5" s="2"/>
      <c r="P5" s="2"/>
    </row>
    <row r="6" spans="1:20" ht="15.75" customHeight="1" x14ac:dyDescent="0.5">
      <c r="A6" s="1"/>
      <c r="B6" s="1"/>
      <c r="C6" s="1"/>
      <c r="D6" s="1"/>
      <c r="E6" s="1"/>
      <c r="F6" s="1"/>
      <c r="G6" s="1"/>
      <c r="H6" s="1"/>
      <c r="I6" s="1"/>
      <c r="J6" s="1"/>
      <c r="N6" s="2"/>
      <c r="O6" s="2"/>
    </row>
    <row r="7" spans="1:20" ht="15.75" customHeight="1" x14ac:dyDescent="0.5">
      <c r="A7" s="1"/>
      <c r="B7" s="1"/>
      <c r="C7" s="1"/>
      <c r="D7" s="1"/>
      <c r="E7" s="1"/>
      <c r="F7" s="1"/>
      <c r="G7" s="1"/>
      <c r="H7" s="1"/>
      <c r="I7" s="1"/>
      <c r="J7" s="1"/>
      <c r="N7" s="2"/>
      <c r="O7" s="2"/>
      <c r="R7" s="7" t="s">
        <v>4</v>
      </c>
      <c r="S7" s="8">
        <v>0.5</v>
      </c>
      <c r="T7" s="7" t="e">
        <f>S3*S7</f>
        <v>#REF!</v>
      </c>
    </row>
    <row r="8" spans="1:20" ht="15.75" customHeigh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N8" s="2"/>
      <c r="O8" s="2"/>
      <c r="P8" s="2"/>
      <c r="R8" s="7" t="s">
        <v>5</v>
      </c>
      <c r="S8" s="8">
        <v>0.3</v>
      </c>
      <c r="T8" s="7" t="e">
        <f>S3*S8</f>
        <v>#REF!</v>
      </c>
    </row>
    <row r="9" spans="1:20" ht="15.75" customHeight="1" x14ac:dyDescent="0.5">
      <c r="A9" s="1"/>
      <c r="B9" s="1"/>
      <c r="C9" s="1"/>
      <c r="D9" s="1"/>
      <c r="E9" s="1"/>
      <c r="F9" s="1"/>
      <c r="G9" s="1"/>
      <c r="H9" s="1"/>
      <c r="I9" s="1"/>
      <c r="J9" s="1"/>
      <c r="N9" s="2"/>
      <c r="O9" s="2"/>
      <c r="P9" s="2"/>
      <c r="R9" s="7" t="s">
        <v>6</v>
      </c>
      <c r="S9" s="8">
        <v>0.2</v>
      </c>
      <c r="T9" s="7" t="e">
        <f>S3*S9</f>
        <v>#REF!</v>
      </c>
    </row>
    <row r="10" spans="1:20" ht="15.75" customHeigh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N10" s="2"/>
      <c r="O10" s="2"/>
      <c r="P10" s="2"/>
    </row>
    <row r="11" spans="1:20" ht="15.75" customHeight="1" x14ac:dyDescent="0.5">
      <c r="A11" s="1"/>
      <c r="B11" s="1"/>
      <c r="C11" s="1"/>
      <c r="D11" s="1"/>
      <c r="E11" s="1"/>
      <c r="F11" s="1"/>
      <c r="G11" s="1"/>
      <c r="H11" s="1"/>
      <c r="I11" s="1"/>
      <c r="J11" s="1"/>
      <c r="N11" s="2"/>
      <c r="O11" s="2"/>
      <c r="P11" s="2"/>
    </row>
    <row r="12" spans="1:20" ht="15.75" customHeight="1" x14ac:dyDescent="0.5">
      <c r="A12" s="1"/>
      <c r="B12" s="1"/>
      <c r="C12" s="1"/>
      <c r="D12" s="1"/>
      <c r="E12" s="1"/>
      <c r="F12" s="1"/>
      <c r="G12" s="1"/>
      <c r="H12" s="1"/>
      <c r="I12" s="1"/>
      <c r="J12" s="1"/>
      <c r="N12" s="2"/>
      <c r="O12" s="2"/>
      <c r="P12" s="2"/>
    </row>
    <row r="13" spans="1:20" ht="15.75" customHeight="1" x14ac:dyDescent="0.5">
      <c r="A13" s="1"/>
      <c r="B13" s="1"/>
      <c r="C13" s="1"/>
      <c r="D13" s="1"/>
      <c r="E13" s="1"/>
      <c r="F13" s="1"/>
      <c r="G13" s="1"/>
      <c r="H13" s="1"/>
      <c r="I13" s="1"/>
      <c r="J13" s="1"/>
      <c r="N13" s="2"/>
      <c r="O13" s="2"/>
      <c r="P13" s="2"/>
    </row>
    <row r="14" spans="1:20" ht="15.75" customHeight="1" x14ac:dyDescent="0.5">
      <c r="A14" s="1"/>
      <c r="B14" s="1"/>
      <c r="C14" s="1"/>
      <c r="D14" s="1"/>
      <c r="E14" s="1"/>
      <c r="F14" s="1"/>
      <c r="G14" s="1"/>
      <c r="H14" s="1"/>
      <c r="I14" s="1"/>
      <c r="J14" s="1"/>
      <c r="N14" s="2"/>
      <c r="O14" s="2"/>
    </row>
    <row r="15" spans="1:20" ht="15.75" customHeight="1" x14ac:dyDescent="0.5">
      <c r="A15" s="1"/>
      <c r="B15" s="1"/>
      <c r="C15" s="1"/>
      <c r="D15" s="1"/>
      <c r="E15" s="1"/>
      <c r="F15" s="1"/>
      <c r="G15" s="1"/>
      <c r="H15" s="1"/>
      <c r="I15" s="1"/>
      <c r="J15" s="1"/>
      <c r="N15" s="2"/>
      <c r="O15" s="2"/>
    </row>
    <row r="16" spans="1:20" ht="15.75" customHeight="1" x14ac:dyDescent="0.5">
      <c r="A16" s="1"/>
      <c r="B16" s="1"/>
      <c r="C16" s="1"/>
      <c r="D16" s="1"/>
      <c r="E16" s="1"/>
      <c r="F16" s="1"/>
      <c r="G16" s="1"/>
      <c r="H16" s="1"/>
      <c r="I16" s="1"/>
      <c r="J16" s="1"/>
      <c r="N16" s="2"/>
      <c r="O16" s="2"/>
      <c r="P16" s="2"/>
    </row>
    <row r="17" spans="1:25" ht="15.75" customHeight="1" x14ac:dyDescent="0.5">
      <c r="A17" s="1"/>
      <c r="B17" s="1"/>
      <c r="C17" s="1"/>
      <c r="D17" s="1"/>
      <c r="E17" s="1"/>
      <c r="F17" s="1"/>
      <c r="G17" s="1"/>
      <c r="H17" s="1"/>
      <c r="I17" s="1"/>
      <c r="J17" s="1"/>
      <c r="N17" s="2"/>
      <c r="O17" s="2"/>
      <c r="P17" s="2"/>
    </row>
    <row r="18" spans="1:25" ht="15.75" customHeight="1" x14ac:dyDescent="0.5">
      <c r="A18" s="26" t="s">
        <v>958</v>
      </c>
      <c r="B18" s="27"/>
      <c r="C18" s="27"/>
      <c r="D18" s="27"/>
      <c r="E18" s="27"/>
      <c r="F18" s="27"/>
      <c r="G18" s="27"/>
      <c r="H18" s="27"/>
      <c r="I18" s="27"/>
      <c r="J18" s="28"/>
      <c r="K18" s="7" t="s">
        <v>8</v>
      </c>
      <c r="N18" s="29" t="s">
        <v>9</v>
      </c>
      <c r="O18" s="23"/>
      <c r="P18" s="2" t="s">
        <v>83</v>
      </c>
      <c r="X18" s="7" t="s">
        <v>8</v>
      </c>
    </row>
    <row r="19" spans="1:25" ht="15.75" customHeight="1" x14ac:dyDescent="0.25">
      <c r="A19" s="9" t="s">
        <v>11</v>
      </c>
      <c r="B19" s="9" t="s">
        <v>12</v>
      </c>
      <c r="C19" s="9" t="s">
        <v>13</v>
      </c>
      <c r="D19" s="9" t="s">
        <v>14</v>
      </c>
      <c r="E19" s="9" t="s">
        <v>15</v>
      </c>
      <c r="F19" s="9" t="s">
        <v>16</v>
      </c>
      <c r="G19" s="9" t="s">
        <v>17</v>
      </c>
      <c r="H19" s="9" t="s">
        <v>18</v>
      </c>
      <c r="I19" s="9" t="s">
        <v>19</v>
      </c>
      <c r="J19" s="9" t="s">
        <v>20</v>
      </c>
      <c r="K19" s="30">
        <f>SUM(I:I)</f>
        <v>15269500</v>
      </c>
      <c r="L19" s="23"/>
      <c r="N19" s="10" t="s">
        <v>11</v>
      </c>
      <c r="O19" s="10" t="s">
        <v>12</v>
      </c>
      <c r="P19" s="10" t="s">
        <v>13</v>
      </c>
      <c r="Q19" s="11" t="s">
        <v>14</v>
      </c>
      <c r="R19" s="11" t="s">
        <v>15</v>
      </c>
      <c r="S19" s="11" t="s">
        <v>16</v>
      </c>
      <c r="T19" s="11" t="s">
        <v>17</v>
      </c>
      <c r="U19" s="11" t="s">
        <v>18</v>
      </c>
      <c r="V19" s="11" t="s">
        <v>19</v>
      </c>
      <c r="W19" s="11" t="s">
        <v>20</v>
      </c>
      <c r="X19" s="31">
        <f ca="1">SUM(V:V)</f>
        <v>305000</v>
      </c>
      <c r="Y19" s="32"/>
    </row>
    <row r="20" spans="1:25" ht="12.5" x14ac:dyDescent="0.25">
      <c r="A20" s="19" t="s">
        <v>113</v>
      </c>
      <c r="B20" s="12">
        <v>1</v>
      </c>
      <c r="C20" s="12" t="s">
        <v>10</v>
      </c>
      <c r="D20" s="13" t="s">
        <v>21</v>
      </c>
      <c r="E20" s="12" t="s">
        <v>22</v>
      </c>
      <c r="F20" s="12">
        <v>1</v>
      </c>
      <c r="G20" s="14" t="s">
        <v>23</v>
      </c>
      <c r="H20" s="15">
        <v>2000000</v>
      </c>
      <c r="I20" s="15">
        <f t="shared" ref="I20:I86" si="0">F20*H20</f>
        <v>2000000</v>
      </c>
      <c r="J20" s="13" t="s">
        <v>24</v>
      </c>
      <c r="K20" s="23"/>
      <c r="L20" s="23"/>
      <c r="N20" s="7" t="str">
        <f ca="1">IFERROR(__xludf.DUMMYFUNCTION("filter(A20:J194,C20:C194=P18)"),"28")</f>
        <v>28</v>
      </c>
      <c r="O20" s="7">
        <f ca="1">IFERROR(__xludf.DUMMYFUNCTION("""COMPUTED_VALUE"""),1)</f>
        <v>1</v>
      </c>
      <c r="P20" s="7" t="str">
        <f ca="1">IFERROR(__xludf.DUMMYFUNCTION("""COMPUTED_VALUE"""),"Stock Bahan")</f>
        <v>Stock Bahan</v>
      </c>
      <c r="Q20" s="7" t="str">
        <f ca="1">IFERROR(__xludf.DUMMYFUNCTION("""COMPUTED_VALUE"""),"Kaitan")</f>
        <v>Kaitan</v>
      </c>
      <c r="R20" s="7" t="str">
        <f ca="1">IFERROR(__xludf.DUMMYFUNCTION("""COMPUTED_VALUE"""),"Reccuring")</f>
        <v>Reccuring</v>
      </c>
      <c r="S20" s="7">
        <f ca="1">IFERROR(__xludf.DUMMYFUNCTION("""COMPUTED_VALUE"""),1)</f>
        <v>1</v>
      </c>
      <c r="T20" s="16" t="str">
        <f ca="1">IFERROR(__xludf.DUMMYFUNCTION("""COMPUTED_VALUE"""),"paket")</f>
        <v>paket</v>
      </c>
      <c r="U20" s="17">
        <f ca="1">IFERROR(__xludf.DUMMYFUNCTION("""COMPUTED_VALUE"""),110000)</f>
        <v>110000</v>
      </c>
      <c r="V20" s="17">
        <f ca="1">IFERROR(__xludf.DUMMYFUNCTION("""COMPUTED_VALUE"""),110000)</f>
        <v>110000</v>
      </c>
      <c r="W20" s="7" t="str">
        <f ca="1">IFERROR(__xludf.DUMMYFUNCTION("""COMPUTED_VALUE"""),"toko dunia monte")</f>
        <v>toko dunia monte</v>
      </c>
      <c r="X20" s="33"/>
      <c r="Y20" s="34"/>
    </row>
    <row r="21" spans="1:25" ht="12.5" x14ac:dyDescent="0.25">
      <c r="A21" s="12" t="s">
        <v>114</v>
      </c>
      <c r="B21" s="12">
        <v>1</v>
      </c>
      <c r="C21" s="12" t="s">
        <v>10</v>
      </c>
      <c r="D21" s="13" t="s">
        <v>25</v>
      </c>
      <c r="E21" s="12" t="s">
        <v>22</v>
      </c>
      <c r="F21" s="12">
        <v>1</v>
      </c>
      <c r="G21" s="14" t="s">
        <v>23</v>
      </c>
      <c r="H21" s="15">
        <v>200000</v>
      </c>
      <c r="I21" s="15">
        <f t="shared" si="0"/>
        <v>200000</v>
      </c>
      <c r="J21" s="13" t="s">
        <v>26</v>
      </c>
      <c r="K21" s="23"/>
      <c r="L21" s="23"/>
      <c r="N21" s="7" t="str">
        <f ca="1">IFERROR(__xludf.DUMMYFUNCTION("""COMPUTED_VALUE"""),"30")</f>
        <v>30</v>
      </c>
      <c r="O21" s="7">
        <f ca="1">IFERROR(__xludf.DUMMYFUNCTION("""COMPUTED_VALUE"""),2)</f>
        <v>2</v>
      </c>
      <c r="P21" s="7" t="str">
        <f ca="1">IFERROR(__xludf.DUMMYFUNCTION("""COMPUTED_VALUE"""),"Stock Bahan")</f>
        <v>Stock Bahan</v>
      </c>
      <c r="Q21" s="7" t="str">
        <f ca="1">IFERROR(__xludf.DUMMYFUNCTION("""COMPUTED_VALUE"""),"wraping bunga")</f>
        <v>wraping bunga</v>
      </c>
      <c r="R21" s="7" t="str">
        <f ca="1">IFERROR(__xludf.DUMMYFUNCTION("""COMPUTED_VALUE"""),"Reccuring")</f>
        <v>Reccuring</v>
      </c>
      <c r="S21" s="7">
        <f ca="1">IFERROR(__xludf.DUMMYFUNCTION("""COMPUTED_VALUE"""),1)</f>
        <v>1</v>
      </c>
      <c r="T21" s="16" t="str">
        <f ca="1">IFERROR(__xludf.DUMMYFUNCTION("""COMPUTED_VALUE"""),"paket")</f>
        <v>paket</v>
      </c>
      <c r="U21" s="17">
        <f ca="1">IFERROR(__xludf.DUMMYFUNCTION("""COMPUTED_VALUE"""),195000)</f>
        <v>195000</v>
      </c>
      <c r="V21" s="17">
        <f ca="1">IFERROR(__xludf.DUMMYFUNCTION("""COMPUTED_VALUE"""),195000)</f>
        <v>195000</v>
      </c>
      <c r="W21" s="7" t="str">
        <f ca="1">IFERROR(__xludf.DUMMYFUNCTION("""COMPUTED_VALUE"""),"Pernak pernik surabaya")</f>
        <v>Pernak pernik surabaya</v>
      </c>
      <c r="X21" s="35"/>
      <c r="Y21" s="36"/>
    </row>
    <row r="22" spans="1:25" ht="12.5" x14ac:dyDescent="0.25">
      <c r="A22" s="12" t="s">
        <v>115</v>
      </c>
      <c r="B22" s="12">
        <v>1</v>
      </c>
      <c r="C22" s="12" t="s">
        <v>10</v>
      </c>
      <c r="D22" s="13" t="s">
        <v>27</v>
      </c>
      <c r="E22" s="12" t="s">
        <v>22</v>
      </c>
      <c r="F22" s="12">
        <v>1</v>
      </c>
      <c r="G22" s="14" t="s">
        <v>23</v>
      </c>
      <c r="H22" s="15">
        <v>30000</v>
      </c>
      <c r="I22" s="15">
        <f t="shared" si="0"/>
        <v>30000</v>
      </c>
      <c r="J22" s="13" t="s">
        <v>28</v>
      </c>
      <c r="U22" s="18"/>
      <c r="V22" s="18"/>
    </row>
    <row r="23" spans="1:25" ht="12.5" x14ac:dyDescent="0.25">
      <c r="A23" s="12" t="s">
        <v>116</v>
      </c>
      <c r="B23" s="12">
        <v>1</v>
      </c>
      <c r="C23" s="12" t="s">
        <v>10</v>
      </c>
      <c r="D23" s="13" t="s">
        <v>29</v>
      </c>
      <c r="E23" s="12" t="s">
        <v>22</v>
      </c>
      <c r="F23" s="12">
        <v>1</v>
      </c>
      <c r="G23" s="14" t="s">
        <v>23</v>
      </c>
      <c r="H23" s="15">
        <v>106500</v>
      </c>
      <c r="I23" s="15">
        <f t="shared" si="0"/>
        <v>106500</v>
      </c>
      <c r="J23" s="13" t="s">
        <v>30</v>
      </c>
      <c r="U23" s="18"/>
      <c r="V23" s="18"/>
    </row>
    <row r="24" spans="1:25" ht="12.5" x14ac:dyDescent="0.25">
      <c r="A24" s="12" t="s">
        <v>117</v>
      </c>
      <c r="B24" s="12">
        <v>1</v>
      </c>
      <c r="C24" s="12" t="s">
        <v>10</v>
      </c>
      <c r="D24" s="13" t="s">
        <v>31</v>
      </c>
      <c r="E24" s="12" t="s">
        <v>22</v>
      </c>
      <c r="F24" s="12">
        <v>1</v>
      </c>
      <c r="G24" s="14" t="s">
        <v>23</v>
      </c>
      <c r="H24" s="15">
        <v>170000</v>
      </c>
      <c r="I24" s="15">
        <f t="shared" si="0"/>
        <v>170000</v>
      </c>
      <c r="J24" s="13" t="s">
        <v>32</v>
      </c>
      <c r="U24" s="18"/>
      <c r="V24" s="18"/>
    </row>
    <row r="25" spans="1:25" ht="12.5" x14ac:dyDescent="0.25">
      <c r="A25" s="12" t="s">
        <v>118</v>
      </c>
      <c r="B25" s="12">
        <v>1</v>
      </c>
      <c r="C25" s="12" t="s">
        <v>10</v>
      </c>
      <c r="D25" s="13" t="s">
        <v>33</v>
      </c>
      <c r="E25" s="12" t="s">
        <v>22</v>
      </c>
      <c r="F25" s="12">
        <v>1</v>
      </c>
      <c r="G25" s="14" t="s">
        <v>23</v>
      </c>
      <c r="H25" s="15">
        <v>100000</v>
      </c>
      <c r="I25" s="15">
        <f t="shared" si="0"/>
        <v>100000</v>
      </c>
      <c r="J25" s="13" t="s">
        <v>34</v>
      </c>
      <c r="U25" s="18"/>
      <c r="V25" s="18"/>
    </row>
    <row r="26" spans="1:25" ht="12.5" x14ac:dyDescent="0.25">
      <c r="A26" s="12" t="s">
        <v>119</v>
      </c>
      <c r="B26" s="12">
        <v>1</v>
      </c>
      <c r="C26" s="12" t="s">
        <v>10</v>
      </c>
      <c r="D26" s="13" t="s">
        <v>36</v>
      </c>
      <c r="E26" s="12" t="s">
        <v>22</v>
      </c>
      <c r="F26" s="12">
        <v>1</v>
      </c>
      <c r="G26" s="14" t="s">
        <v>23</v>
      </c>
      <c r="H26" s="15">
        <v>2350000</v>
      </c>
      <c r="I26" s="15">
        <f t="shared" si="0"/>
        <v>2350000</v>
      </c>
      <c r="J26" s="13" t="s">
        <v>37</v>
      </c>
      <c r="U26" s="18"/>
      <c r="V26" s="18"/>
    </row>
    <row r="27" spans="1:25" ht="12.5" x14ac:dyDescent="0.25">
      <c r="A27" s="12" t="s">
        <v>121</v>
      </c>
      <c r="B27" s="12">
        <v>1</v>
      </c>
      <c r="C27" s="12" t="s">
        <v>10</v>
      </c>
      <c r="D27" s="13" t="s">
        <v>36</v>
      </c>
      <c r="E27" s="12" t="s">
        <v>22</v>
      </c>
      <c r="F27" s="12">
        <v>1</v>
      </c>
      <c r="G27" s="14" t="s">
        <v>23</v>
      </c>
      <c r="H27" s="15">
        <v>2450000</v>
      </c>
      <c r="I27" s="15">
        <f t="shared" si="0"/>
        <v>2450000</v>
      </c>
      <c r="J27" s="13" t="s">
        <v>38</v>
      </c>
      <c r="U27" s="18"/>
      <c r="V27" s="18"/>
    </row>
    <row r="28" spans="1:25" ht="12.5" x14ac:dyDescent="0.25">
      <c r="A28" s="12" t="s">
        <v>122</v>
      </c>
      <c r="B28" s="12">
        <v>1</v>
      </c>
      <c r="C28" s="12" t="s">
        <v>10</v>
      </c>
      <c r="D28" s="13" t="s">
        <v>40</v>
      </c>
      <c r="E28" s="12" t="s">
        <v>22</v>
      </c>
      <c r="F28" s="12">
        <v>2</v>
      </c>
      <c r="G28" s="14" t="s">
        <v>23</v>
      </c>
      <c r="H28" s="15">
        <v>40000</v>
      </c>
      <c r="I28" s="15">
        <f t="shared" si="0"/>
        <v>80000</v>
      </c>
      <c r="J28" s="13" t="s">
        <v>41</v>
      </c>
      <c r="U28" s="18"/>
      <c r="V28" s="18"/>
    </row>
    <row r="29" spans="1:25" ht="12.5" x14ac:dyDescent="0.25">
      <c r="A29" s="12" t="s">
        <v>123</v>
      </c>
      <c r="B29" s="12">
        <v>1</v>
      </c>
      <c r="C29" s="12" t="s">
        <v>10</v>
      </c>
      <c r="D29" s="13" t="s">
        <v>42</v>
      </c>
      <c r="E29" s="12" t="s">
        <v>22</v>
      </c>
      <c r="F29" s="12">
        <v>2</v>
      </c>
      <c r="G29" s="14" t="s">
        <v>23</v>
      </c>
      <c r="H29" s="15">
        <v>50000</v>
      </c>
      <c r="I29" s="15">
        <f t="shared" si="0"/>
        <v>100000</v>
      </c>
      <c r="J29" s="13" t="s">
        <v>43</v>
      </c>
      <c r="U29" s="18"/>
      <c r="V29" s="18"/>
    </row>
    <row r="30" spans="1:25" ht="12.5" x14ac:dyDescent="0.25">
      <c r="A30" s="12" t="s">
        <v>124</v>
      </c>
      <c r="B30" s="12">
        <v>1</v>
      </c>
      <c r="C30" s="12" t="s">
        <v>10</v>
      </c>
      <c r="D30" s="13" t="s">
        <v>44</v>
      </c>
      <c r="E30" s="12" t="s">
        <v>22</v>
      </c>
      <c r="F30" s="12">
        <v>0</v>
      </c>
      <c r="G30" s="14" t="s">
        <v>23</v>
      </c>
      <c r="H30" s="15">
        <v>65000</v>
      </c>
      <c r="I30" s="15">
        <f t="shared" si="0"/>
        <v>0</v>
      </c>
      <c r="J30" s="13" t="s">
        <v>44</v>
      </c>
      <c r="U30" s="18"/>
      <c r="V30" s="18"/>
    </row>
    <row r="31" spans="1:25" ht="12.5" x14ac:dyDescent="0.25">
      <c r="A31" s="12" t="s">
        <v>125</v>
      </c>
      <c r="B31" s="12">
        <v>1</v>
      </c>
      <c r="C31" s="12" t="s">
        <v>10</v>
      </c>
      <c r="D31" s="13" t="s">
        <v>45</v>
      </c>
      <c r="E31" s="12" t="s">
        <v>22</v>
      </c>
      <c r="F31" s="12">
        <v>1</v>
      </c>
      <c r="G31" s="14" t="s">
        <v>23</v>
      </c>
      <c r="H31" s="15">
        <v>100000</v>
      </c>
      <c r="I31" s="15">
        <f t="shared" si="0"/>
        <v>100000</v>
      </c>
      <c r="J31" s="13" t="s">
        <v>46</v>
      </c>
      <c r="U31" s="18"/>
      <c r="V31" s="18"/>
    </row>
    <row r="32" spans="1:25" ht="12.5" x14ac:dyDescent="0.25">
      <c r="A32" s="12" t="s">
        <v>126</v>
      </c>
      <c r="B32" s="12">
        <v>1</v>
      </c>
      <c r="C32" s="12" t="s">
        <v>10</v>
      </c>
      <c r="D32" s="13" t="s">
        <v>47</v>
      </c>
      <c r="E32" s="12" t="s">
        <v>22</v>
      </c>
      <c r="F32" s="12">
        <v>1</v>
      </c>
      <c r="G32" s="14" t="s">
        <v>23</v>
      </c>
      <c r="H32" s="15">
        <v>300000</v>
      </c>
      <c r="I32" s="15">
        <f t="shared" si="0"/>
        <v>300000</v>
      </c>
      <c r="J32" s="13" t="s">
        <v>48</v>
      </c>
      <c r="U32" s="18"/>
      <c r="V32" s="18"/>
    </row>
    <row r="33" spans="1:22" ht="12.5" x14ac:dyDescent="0.25">
      <c r="A33" s="12" t="s">
        <v>127</v>
      </c>
      <c r="B33" s="12">
        <v>1</v>
      </c>
      <c r="C33" s="12" t="s">
        <v>660</v>
      </c>
      <c r="D33" s="21" t="s">
        <v>661</v>
      </c>
      <c r="E33" s="12" t="s">
        <v>22</v>
      </c>
      <c r="F33" s="12">
        <v>1</v>
      </c>
      <c r="G33" s="14" t="s">
        <v>23</v>
      </c>
      <c r="H33" s="15">
        <v>800000</v>
      </c>
      <c r="I33" s="15">
        <f t="shared" si="0"/>
        <v>800000</v>
      </c>
      <c r="J33" s="13" t="s">
        <v>662</v>
      </c>
      <c r="U33" s="18"/>
      <c r="V33" s="18"/>
    </row>
    <row r="34" spans="1:22" ht="12.5" x14ac:dyDescent="0.25">
      <c r="A34" s="12" t="s">
        <v>128</v>
      </c>
      <c r="B34" s="12">
        <v>1</v>
      </c>
      <c r="C34" s="12" t="s">
        <v>10</v>
      </c>
      <c r="D34" s="21" t="s">
        <v>959</v>
      </c>
      <c r="E34" s="12" t="s">
        <v>68</v>
      </c>
      <c r="F34" s="12">
        <v>1</v>
      </c>
      <c r="G34" s="14" t="s">
        <v>23</v>
      </c>
      <c r="H34" s="15">
        <v>100000</v>
      </c>
      <c r="I34" s="15">
        <f t="shared" si="0"/>
        <v>100000</v>
      </c>
      <c r="J34" s="13" t="s">
        <v>960</v>
      </c>
      <c r="U34" s="18"/>
      <c r="V34" s="18"/>
    </row>
    <row r="35" spans="1:22" ht="12.5" x14ac:dyDescent="0.25">
      <c r="A35" s="12" t="s">
        <v>129</v>
      </c>
      <c r="B35" s="12">
        <v>1</v>
      </c>
      <c r="C35" s="12" t="s">
        <v>262</v>
      </c>
      <c r="D35" s="21" t="s">
        <v>961</v>
      </c>
      <c r="E35" s="12" t="s">
        <v>68</v>
      </c>
      <c r="F35" s="12">
        <v>1</v>
      </c>
      <c r="G35" s="14" t="s">
        <v>23</v>
      </c>
      <c r="H35" s="15">
        <v>200000</v>
      </c>
      <c r="I35" s="15">
        <f t="shared" si="0"/>
        <v>200000</v>
      </c>
      <c r="J35" s="13" t="s">
        <v>962</v>
      </c>
      <c r="U35" s="18"/>
      <c r="V35" s="18"/>
    </row>
    <row r="36" spans="1:22" ht="12.5" x14ac:dyDescent="0.25">
      <c r="A36" s="12" t="s">
        <v>130</v>
      </c>
      <c r="B36" s="12">
        <v>31</v>
      </c>
      <c r="C36" s="12" t="s">
        <v>10</v>
      </c>
      <c r="D36" s="21" t="s">
        <v>963</v>
      </c>
      <c r="E36" s="12" t="s">
        <v>22</v>
      </c>
      <c r="F36" s="12">
        <v>1</v>
      </c>
      <c r="G36" s="14" t="s">
        <v>23</v>
      </c>
      <c r="H36" s="15">
        <v>150000</v>
      </c>
      <c r="I36" s="15">
        <f t="shared" si="0"/>
        <v>150000</v>
      </c>
      <c r="J36" s="13" t="s">
        <v>964</v>
      </c>
    </row>
    <row r="37" spans="1:22" ht="12.5" x14ac:dyDescent="0.25">
      <c r="A37" s="12" t="s">
        <v>131</v>
      </c>
      <c r="B37" s="12">
        <v>31</v>
      </c>
      <c r="C37" s="12" t="s">
        <v>51</v>
      </c>
      <c r="D37" s="21" t="s">
        <v>965</v>
      </c>
      <c r="E37" s="12" t="s">
        <v>22</v>
      </c>
      <c r="F37" s="12">
        <v>1</v>
      </c>
      <c r="G37" s="14" t="s">
        <v>23</v>
      </c>
      <c r="H37" s="15">
        <v>300000</v>
      </c>
      <c r="I37" s="15">
        <f t="shared" si="0"/>
        <v>300000</v>
      </c>
      <c r="J37" s="13" t="s">
        <v>966</v>
      </c>
    </row>
    <row r="38" spans="1:22" ht="12.5" x14ac:dyDescent="0.25">
      <c r="A38" s="12" t="s">
        <v>135</v>
      </c>
      <c r="B38" s="12">
        <v>31</v>
      </c>
      <c r="C38" s="12" t="s">
        <v>51</v>
      </c>
      <c r="D38" s="21" t="s">
        <v>967</v>
      </c>
      <c r="E38" s="12" t="s">
        <v>22</v>
      </c>
      <c r="F38" s="12">
        <v>1</v>
      </c>
      <c r="G38" s="14" t="s">
        <v>23</v>
      </c>
      <c r="H38" s="15">
        <v>304000</v>
      </c>
      <c r="I38" s="15">
        <f t="shared" si="0"/>
        <v>304000</v>
      </c>
      <c r="J38" s="13" t="s">
        <v>664</v>
      </c>
    </row>
    <row r="39" spans="1:22" ht="12.5" x14ac:dyDescent="0.25">
      <c r="A39" s="12" t="s">
        <v>138</v>
      </c>
      <c r="B39" s="12">
        <v>5</v>
      </c>
      <c r="C39" s="12" t="s">
        <v>51</v>
      </c>
      <c r="D39" s="21" t="s">
        <v>968</v>
      </c>
      <c r="E39" s="12" t="s">
        <v>22</v>
      </c>
      <c r="F39" s="12">
        <v>1</v>
      </c>
      <c r="G39" s="14" t="s">
        <v>23</v>
      </c>
      <c r="H39" s="15">
        <v>510000</v>
      </c>
      <c r="I39" s="15">
        <f t="shared" si="0"/>
        <v>510000</v>
      </c>
      <c r="J39" s="13" t="s">
        <v>969</v>
      </c>
    </row>
    <row r="40" spans="1:22" ht="12.5" x14ac:dyDescent="0.25">
      <c r="A40" s="12" t="s">
        <v>141</v>
      </c>
      <c r="B40" s="12">
        <v>16</v>
      </c>
      <c r="C40" s="12" t="s">
        <v>51</v>
      </c>
      <c r="D40" s="21" t="s">
        <v>970</v>
      </c>
      <c r="E40" s="12" t="s">
        <v>22</v>
      </c>
      <c r="F40" s="12">
        <v>1</v>
      </c>
      <c r="G40" s="14" t="s">
        <v>23</v>
      </c>
      <c r="H40" s="15">
        <v>810000</v>
      </c>
      <c r="I40" s="15">
        <f t="shared" si="0"/>
        <v>810000</v>
      </c>
      <c r="J40" s="13" t="s">
        <v>969</v>
      </c>
    </row>
    <row r="41" spans="1:22" ht="12.5" x14ac:dyDescent="0.25">
      <c r="A41" s="12" t="s">
        <v>144</v>
      </c>
      <c r="B41" s="12">
        <v>25</v>
      </c>
      <c r="C41" s="12" t="s">
        <v>51</v>
      </c>
      <c r="D41" s="21" t="s">
        <v>971</v>
      </c>
      <c r="E41" s="12" t="s">
        <v>22</v>
      </c>
      <c r="F41" s="12">
        <v>1</v>
      </c>
      <c r="G41" s="14" t="s">
        <v>23</v>
      </c>
      <c r="H41" s="15">
        <v>1030000</v>
      </c>
      <c r="I41" s="15">
        <f t="shared" si="0"/>
        <v>1030000</v>
      </c>
      <c r="J41" s="13" t="s">
        <v>972</v>
      </c>
    </row>
    <row r="42" spans="1:22" ht="12.5" x14ac:dyDescent="0.25">
      <c r="A42" s="12" t="s">
        <v>147</v>
      </c>
      <c r="B42" s="12">
        <v>23</v>
      </c>
      <c r="C42" s="12" t="s">
        <v>51</v>
      </c>
      <c r="D42" s="21" t="s">
        <v>248</v>
      </c>
      <c r="E42" s="12" t="s">
        <v>22</v>
      </c>
      <c r="F42" s="12">
        <v>1</v>
      </c>
      <c r="G42" s="14" t="s">
        <v>23</v>
      </c>
      <c r="H42" s="15">
        <v>1019000</v>
      </c>
      <c r="I42" s="15">
        <f t="shared" si="0"/>
        <v>1019000</v>
      </c>
      <c r="J42" s="13" t="s">
        <v>973</v>
      </c>
    </row>
    <row r="43" spans="1:22" ht="12.5" x14ac:dyDescent="0.25">
      <c r="A43" s="12" t="s">
        <v>150</v>
      </c>
      <c r="B43" s="12">
        <v>1</v>
      </c>
      <c r="C43" s="12" t="s">
        <v>51</v>
      </c>
      <c r="D43" s="21" t="s">
        <v>974</v>
      </c>
      <c r="E43" s="12" t="s">
        <v>22</v>
      </c>
      <c r="F43" s="12">
        <v>1</v>
      </c>
      <c r="G43" s="14" t="s">
        <v>81</v>
      </c>
      <c r="H43" s="15">
        <v>140000</v>
      </c>
      <c r="I43" s="15">
        <f t="shared" si="0"/>
        <v>140000</v>
      </c>
      <c r="J43" s="21" t="s">
        <v>975</v>
      </c>
    </row>
    <row r="44" spans="1:22" ht="12.5" x14ac:dyDescent="0.25">
      <c r="A44" s="12" t="s">
        <v>153</v>
      </c>
      <c r="B44" s="12">
        <v>1</v>
      </c>
      <c r="C44" s="12" t="s">
        <v>51</v>
      </c>
      <c r="D44" s="21" t="s">
        <v>633</v>
      </c>
      <c r="E44" s="12" t="s">
        <v>22</v>
      </c>
      <c r="F44" s="12">
        <v>1</v>
      </c>
      <c r="G44" s="14" t="s">
        <v>81</v>
      </c>
      <c r="H44" s="15">
        <v>195000</v>
      </c>
      <c r="I44" s="15">
        <f t="shared" si="0"/>
        <v>195000</v>
      </c>
      <c r="J44" s="13" t="s">
        <v>633</v>
      </c>
    </row>
    <row r="45" spans="1:22" ht="12.5" x14ac:dyDescent="0.25">
      <c r="A45" s="12" t="s">
        <v>156</v>
      </c>
      <c r="B45" s="12">
        <v>1</v>
      </c>
      <c r="C45" s="12" t="s">
        <v>51</v>
      </c>
      <c r="D45" s="21" t="s">
        <v>976</v>
      </c>
      <c r="E45" s="12" t="s">
        <v>22</v>
      </c>
      <c r="F45" s="12">
        <v>1</v>
      </c>
      <c r="G45" s="14" t="s">
        <v>81</v>
      </c>
      <c r="H45" s="15">
        <v>125000</v>
      </c>
      <c r="I45" s="15">
        <f t="shared" si="0"/>
        <v>125000</v>
      </c>
      <c r="J45" s="13" t="s">
        <v>977</v>
      </c>
    </row>
    <row r="46" spans="1:22" ht="12.5" x14ac:dyDescent="0.25">
      <c r="A46" s="12" t="s">
        <v>158</v>
      </c>
      <c r="B46" s="12">
        <v>1</v>
      </c>
      <c r="C46" s="12" t="s">
        <v>51</v>
      </c>
      <c r="D46" s="21" t="s">
        <v>864</v>
      </c>
      <c r="E46" s="12" t="s">
        <v>22</v>
      </c>
      <c r="F46" s="12">
        <v>1</v>
      </c>
      <c r="G46" s="14" t="s">
        <v>81</v>
      </c>
      <c r="H46" s="15">
        <v>55000</v>
      </c>
      <c r="I46" s="15">
        <f t="shared" si="0"/>
        <v>55000</v>
      </c>
      <c r="J46" s="13" t="s">
        <v>978</v>
      </c>
    </row>
    <row r="47" spans="1:22" ht="12.5" x14ac:dyDescent="0.25">
      <c r="A47" s="12" t="s">
        <v>161</v>
      </c>
      <c r="B47" s="12">
        <v>1</v>
      </c>
      <c r="C47" s="12" t="s">
        <v>83</v>
      </c>
      <c r="D47" s="21" t="s">
        <v>979</v>
      </c>
      <c r="E47" s="12" t="s">
        <v>22</v>
      </c>
      <c r="F47" s="12">
        <v>1</v>
      </c>
      <c r="G47" s="14" t="s">
        <v>81</v>
      </c>
      <c r="H47" s="15">
        <v>110000</v>
      </c>
      <c r="I47" s="15">
        <f t="shared" si="0"/>
        <v>110000</v>
      </c>
      <c r="J47" s="13" t="s">
        <v>513</v>
      </c>
    </row>
    <row r="48" spans="1:22" ht="12.5" x14ac:dyDescent="0.25">
      <c r="A48" s="12" t="s">
        <v>164</v>
      </c>
      <c r="B48" s="12">
        <v>2</v>
      </c>
      <c r="C48" s="12" t="s">
        <v>51</v>
      </c>
      <c r="D48" s="21" t="s">
        <v>980</v>
      </c>
      <c r="E48" s="12" t="s">
        <v>22</v>
      </c>
      <c r="F48" s="12">
        <v>1</v>
      </c>
      <c r="G48" s="14" t="s">
        <v>81</v>
      </c>
      <c r="H48" s="15">
        <v>70000</v>
      </c>
      <c r="I48" s="15">
        <f t="shared" si="0"/>
        <v>70000</v>
      </c>
      <c r="J48" s="13" t="s">
        <v>981</v>
      </c>
    </row>
    <row r="49" spans="1:10" ht="12.5" x14ac:dyDescent="0.25">
      <c r="A49" s="12" t="s">
        <v>166</v>
      </c>
      <c r="B49" s="12">
        <v>2</v>
      </c>
      <c r="C49" s="12" t="s">
        <v>83</v>
      </c>
      <c r="D49" s="21" t="s">
        <v>982</v>
      </c>
      <c r="E49" s="12" t="s">
        <v>22</v>
      </c>
      <c r="F49" s="12">
        <v>1</v>
      </c>
      <c r="G49" s="14" t="s">
        <v>81</v>
      </c>
      <c r="H49" s="15">
        <v>195000</v>
      </c>
      <c r="I49" s="15">
        <f t="shared" si="0"/>
        <v>195000</v>
      </c>
      <c r="J49" s="13" t="s">
        <v>870</v>
      </c>
    </row>
    <row r="50" spans="1:10" ht="12.5" x14ac:dyDescent="0.25">
      <c r="A50" s="12" t="s">
        <v>169</v>
      </c>
      <c r="B50" s="12">
        <v>3</v>
      </c>
      <c r="C50" s="12" t="s">
        <v>51</v>
      </c>
      <c r="D50" s="21" t="s">
        <v>983</v>
      </c>
      <c r="E50" s="12" t="s">
        <v>22</v>
      </c>
      <c r="F50" s="12">
        <v>1</v>
      </c>
      <c r="G50" s="14" t="s">
        <v>81</v>
      </c>
      <c r="H50" s="15">
        <v>160000</v>
      </c>
      <c r="I50" s="15">
        <f t="shared" si="0"/>
        <v>160000</v>
      </c>
      <c r="J50" s="13" t="s">
        <v>984</v>
      </c>
    </row>
    <row r="51" spans="1:10" ht="12.5" x14ac:dyDescent="0.25">
      <c r="A51" s="12" t="s">
        <v>171</v>
      </c>
      <c r="B51" s="12">
        <v>3</v>
      </c>
      <c r="C51" s="12" t="s">
        <v>51</v>
      </c>
      <c r="D51" s="21" t="s">
        <v>985</v>
      </c>
      <c r="E51" s="12" t="s">
        <v>22</v>
      </c>
      <c r="F51" s="12">
        <v>1</v>
      </c>
      <c r="G51" s="14" t="s">
        <v>81</v>
      </c>
      <c r="H51" s="15">
        <v>225000</v>
      </c>
      <c r="I51" s="15">
        <f t="shared" si="0"/>
        <v>225000</v>
      </c>
      <c r="J51" s="13" t="s">
        <v>986</v>
      </c>
    </row>
    <row r="52" spans="1:10" ht="12.5" x14ac:dyDescent="0.25">
      <c r="A52" s="12" t="s">
        <v>172</v>
      </c>
      <c r="B52" s="12">
        <v>3</v>
      </c>
      <c r="C52" s="12" t="s">
        <v>51</v>
      </c>
      <c r="D52" s="21" t="s">
        <v>983</v>
      </c>
      <c r="E52" s="12" t="s">
        <v>22</v>
      </c>
      <c r="F52" s="12">
        <v>1</v>
      </c>
      <c r="G52" s="14" t="s">
        <v>81</v>
      </c>
      <c r="H52" s="15">
        <v>340000</v>
      </c>
      <c r="I52" s="15">
        <f t="shared" si="0"/>
        <v>340000</v>
      </c>
      <c r="J52" s="13" t="s">
        <v>433</v>
      </c>
    </row>
    <row r="53" spans="1:10" ht="12.5" x14ac:dyDescent="0.25">
      <c r="A53" s="12" t="s">
        <v>175</v>
      </c>
      <c r="B53" s="12">
        <v>3</v>
      </c>
      <c r="C53" s="12" t="s">
        <v>51</v>
      </c>
      <c r="D53" s="21" t="s">
        <v>987</v>
      </c>
      <c r="E53" s="12" t="s">
        <v>22</v>
      </c>
      <c r="F53" s="12">
        <v>1</v>
      </c>
      <c r="G53" s="14" t="s">
        <v>81</v>
      </c>
      <c r="H53" s="15">
        <v>50000</v>
      </c>
      <c r="I53" s="15">
        <f t="shared" si="0"/>
        <v>50000</v>
      </c>
      <c r="J53" s="13" t="s">
        <v>988</v>
      </c>
    </row>
    <row r="54" spans="1:10" ht="12.5" x14ac:dyDescent="0.25">
      <c r="A54" s="12" t="s">
        <v>178</v>
      </c>
      <c r="B54" s="12">
        <v>3</v>
      </c>
      <c r="C54" s="12" t="s">
        <v>51</v>
      </c>
      <c r="D54" s="21" t="s">
        <v>989</v>
      </c>
      <c r="E54" s="12" t="s">
        <v>22</v>
      </c>
      <c r="F54" s="12">
        <v>1</v>
      </c>
      <c r="G54" s="14" t="s">
        <v>81</v>
      </c>
      <c r="H54" s="15">
        <v>85000</v>
      </c>
      <c r="I54" s="15">
        <f t="shared" si="0"/>
        <v>85000</v>
      </c>
      <c r="J54" s="13" t="s">
        <v>990</v>
      </c>
    </row>
    <row r="55" spans="1:10" ht="12.5" x14ac:dyDescent="0.25">
      <c r="A55" s="12" t="s">
        <v>181</v>
      </c>
      <c r="B55" s="12">
        <v>4</v>
      </c>
      <c r="C55" s="12" t="s">
        <v>51</v>
      </c>
      <c r="D55" s="21" t="s">
        <v>991</v>
      </c>
      <c r="E55" s="12" t="s">
        <v>22</v>
      </c>
      <c r="F55" s="12">
        <v>1</v>
      </c>
      <c r="G55" s="14" t="s">
        <v>81</v>
      </c>
      <c r="H55" s="15">
        <v>310000</v>
      </c>
      <c r="I55" s="15">
        <f t="shared" si="0"/>
        <v>310000</v>
      </c>
      <c r="J55" s="13" t="s">
        <v>992</v>
      </c>
    </row>
    <row r="56" spans="1:10" ht="12.5" x14ac:dyDescent="0.25">
      <c r="A56" s="12" t="s">
        <v>183</v>
      </c>
      <c r="B56" s="12"/>
      <c r="C56" s="12"/>
      <c r="D56" s="21"/>
      <c r="E56" s="12"/>
      <c r="F56" s="12"/>
      <c r="G56" s="14"/>
      <c r="H56" s="15"/>
      <c r="I56" s="15">
        <f t="shared" si="0"/>
        <v>0</v>
      </c>
      <c r="J56" s="13"/>
    </row>
    <row r="57" spans="1:10" ht="12.5" x14ac:dyDescent="0.25">
      <c r="A57" s="12" t="s">
        <v>186</v>
      </c>
      <c r="B57" s="12"/>
      <c r="C57" s="12"/>
      <c r="D57" s="21"/>
      <c r="E57" s="12"/>
      <c r="F57" s="12"/>
      <c r="G57" s="14"/>
      <c r="H57" s="15"/>
      <c r="I57" s="15">
        <f t="shared" si="0"/>
        <v>0</v>
      </c>
      <c r="J57" s="13"/>
    </row>
    <row r="58" spans="1:10" ht="12.5" x14ac:dyDescent="0.25">
      <c r="A58" s="12" t="s">
        <v>189</v>
      </c>
      <c r="B58" s="12"/>
      <c r="C58" s="12"/>
      <c r="D58" s="21"/>
      <c r="E58" s="12"/>
      <c r="F58" s="12"/>
      <c r="G58" s="14"/>
      <c r="H58" s="15"/>
      <c r="I58" s="15">
        <f t="shared" si="0"/>
        <v>0</v>
      </c>
      <c r="J58" s="13"/>
    </row>
    <row r="59" spans="1:10" ht="12.5" x14ac:dyDescent="0.25">
      <c r="A59" s="12" t="s">
        <v>191</v>
      </c>
      <c r="B59" s="12"/>
      <c r="C59" s="12"/>
      <c r="D59" s="21"/>
      <c r="E59" s="12"/>
      <c r="F59" s="12"/>
      <c r="G59" s="14"/>
      <c r="H59" s="15"/>
      <c r="I59" s="15">
        <f t="shared" si="0"/>
        <v>0</v>
      </c>
      <c r="J59" s="13"/>
    </row>
    <row r="60" spans="1:10" ht="12.5" x14ac:dyDescent="0.25">
      <c r="A60" s="12" t="s">
        <v>194</v>
      </c>
      <c r="B60" s="12"/>
      <c r="C60" s="12"/>
      <c r="D60" s="21"/>
      <c r="E60" s="12"/>
      <c r="F60" s="12"/>
      <c r="G60" s="14"/>
      <c r="H60" s="15"/>
      <c r="I60" s="15">
        <f t="shared" si="0"/>
        <v>0</v>
      </c>
      <c r="J60" s="13"/>
    </row>
    <row r="61" spans="1:10" ht="12.5" x14ac:dyDescent="0.25">
      <c r="A61" s="12" t="s">
        <v>197</v>
      </c>
      <c r="B61" s="12"/>
      <c r="C61" s="12"/>
      <c r="D61" s="21"/>
      <c r="E61" s="12"/>
      <c r="F61" s="12"/>
      <c r="G61" s="14"/>
      <c r="H61" s="15"/>
      <c r="I61" s="15">
        <f t="shared" si="0"/>
        <v>0</v>
      </c>
      <c r="J61" s="13"/>
    </row>
    <row r="62" spans="1:10" ht="12.5" x14ac:dyDescent="0.25">
      <c r="A62" s="12" t="s">
        <v>199</v>
      </c>
      <c r="B62" s="12"/>
      <c r="C62" s="12"/>
      <c r="D62" s="21"/>
      <c r="E62" s="12"/>
      <c r="F62" s="12"/>
      <c r="G62" s="14"/>
      <c r="H62" s="15"/>
      <c r="I62" s="15">
        <f t="shared" si="0"/>
        <v>0</v>
      </c>
      <c r="J62" s="13"/>
    </row>
    <row r="63" spans="1:10" ht="12.5" x14ac:dyDescent="0.25">
      <c r="A63" s="12" t="s">
        <v>202</v>
      </c>
      <c r="B63" s="12"/>
      <c r="C63" s="12"/>
      <c r="D63" s="21"/>
      <c r="E63" s="12"/>
      <c r="F63" s="12"/>
      <c r="G63" s="14"/>
      <c r="H63" s="15"/>
      <c r="I63" s="15">
        <f t="shared" si="0"/>
        <v>0</v>
      </c>
      <c r="J63" s="13"/>
    </row>
    <row r="64" spans="1:10" ht="12.5" x14ac:dyDescent="0.25">
      <c r="A64" s="12" t="s">
        <v>205</v>
      </c>
      <c r="B64" s="12"/>
      <c r="C64" s="12"/>
      <c r="D64" s="21"/>
      <c r="E64" s="12"/>
      <c r="F64" s="12"/>
      <c r="G64" s="14"/>
      <c r="H64" s="15"/>
      <c r="I64" s="15">
        <f t="shared" si="0"/>
        <v>0</v>
      </c>
      <c r="J64" s="13"/>
    </row>
    <row r="65" spans="1:10" ht="12.5" x14ac:dyDescent="0.25">
      <c r="A65" s="12" t="s">
        <v>207</v>
      </c>
      <c r="B65" s="12"/>
      <c r="C65" s="12"/>
      <c r="D65" s="21"/>
      <c r="E65" s="12"/>
      <c r="F65" s="12"/>
      <c r="G65" s="14"/>
      <c r="H65" s="15"/>
      <c r="I65" s="15">
        <f t="shared" si="0"/>
        <v>0</v>
      </c>
      <c r="J65" s="13"/>
    </row>
    <row r="66" spans="1:10" ht="12.5" x14ac:dyDescent="0.25">
      <c r="A66" s="12" t="s">
        <v>210</v>
      </c>
      <c r="B66" s="12"/>
      <c r="C66" s="12"/>
      <c r="D66" s="21"/>
      <c r="E66" s="12"/>
      <c r="F66" s="12"/>
      <c r="G66" s="14"/>
      <c r="H66" s="15"/>
      <c r="I66" s="15">
        <f t="shared" si="0"/>
        <v>0</v>
      </c>
      <c r="J66" s="13"/>
    </row>
    <row r="67" spans="1:10" ht="12.5" x14ac:dyDescent="0.25">
      <c r="A67" s="12" t="s">
        <v>213</v>
      </c>
      <c r="B67" s="12"/>
      <c r="C67" s="12"/>
      <c r="D67" s="21"/>
      <c r="E67" s="12"/>
      <c r="F67" s="12"/>
      <c r="G67" s="14"/>
      <c r="H67" s="15"/>
      <c r="I67" s="15">
        <f t="shared" si="0"/>
        <v>0</v>
      </c>
      <c r="J67" s="13"/>
    </row>
    <row r="68" spans="1:10" ht="12.5" x14ac:dyDescent="0.25">
      <c r="A68" s="12" t="s">
        <v>216</v>
      </c>
      <c r="B68" s="12"/>
      <c r="C68" s="12"/>
      <c r="D68" s="21"/>
      <c r="E68" s="12"/>
      <c r="F68" s="12"/>
      <c r="G68" s="14"/>
      <c r="H68" s="15"/>
      <c r="I68" s="15">
        <f t="shared" si="0"/>
        <v>0</v>
      </c>
      <c r="J68" s="13"/>
    </row>
    <row r="69" spans="1:10" ht="12.5" x14ac:dyDescent="0.25">
      <c r="A69" s="12" t="s">
        <v>218</v>
      </c>
      <c r="B69" s="12"/>
      <c r="C69" s="12"/>
      <c r="D69" s="21"/>
      <c r="E69" s="12"/>
      <c r="F69" s="12"/>
      <c r="G69" s="14"/>
      <c r="H69" s="15"/>
      <c r="I69" s="15">
        <f t="shared" si="0"/>
        <v>0</v>
      </c>
      <c r="J69" s="13"/>
    </row>
    <row r="70" spans="1:10" ht="12.5" x14ac:dyDescent="0.25">
      <c r="A70" s="12" t="s">
        <v>221</v>
      </c>
      <c r="B70" s="12"/>
      <c r="C70" s="12"/>
      <c r="D70" s="21"/>
      <c r="E70" s="12"/>
      <c r="F70" s="12"/>
      <c r="G70" s="14"/>
      <c r="H70" s="15"/>
      <c r="I70" s="15">
        <f t="shared" si="0"/>
        <v>0</v>
      </c>
      <c r="J70" s="13"/>
    </row>
    <row r="71" spans="1:10" ht="12.5" x14ac:dyDescent="0.25">
      <c r="A71" s="12" t="s">
        <v>224</v>
      </c>
      <c r="B71" s="12"/>
      <c r="C71" s="12"/>
      <c r="D71" s="21"/>
      <c r="E71" s="12"/>
      <c r="F71" s="12"/>
      <c r="G71" s="14"/>
      <c r="H71" s="15"/>
      <c r="I71" s="15">
        <f t="shared" si="0"/>
        <v>0</v>
      </c>
      <c r="J71" s="13"/>
    </row>
    <row r="72" spans="1:10" ht="12.5" x14ac:dyDescent="0.25">
      <c r="A72" s="12" t="s">
        <v>226</v>
      </c>
      <c r="B72" s="12"/>
      <c r="C72" s="12"/>
      <c r="D72" s="21"/>
      <c r="E72" s="12"/>
      <c r="F72" s="12"/>
      <c r="G72" s="14"/>
      <c r="H72" s="15"/>
      <c r="I72" s="15">
        <f t="shared" si="0"/>
        <v>0</v>
      </c>
      <c r="J72" s="13"/>
    </row>
    <row r="73" spans="1:10" ht="12.5" x14ac:dyDescent="0.25">
      <c r="A73" s="12" t="s">
        <v>229</v>
      </c>
      <c r="B73" s="12"/>
      <c r="C73" s="12"/>
      <c r="D73" s="21"/>
      <c r="E73" s="12"/>
      <c r="F73" s="12"/>
      <c r="G73" s="14"/>
      <c r="H73" s="15"/>
      <c r="I73" s="15">
        <f t="shared" si="0"/>
        <v>0</v>
      </c>
      <c r="J73" s="13"/>
    </row>
    <row r="74" spans="1:10" ht="12.5" x14ac:dyDescent="0.25">
      <c r="A74" s="12" t="s">
        <v>232</v>
      </c>
      <c r="B74" s="12"/>
      <c r="C74" s="12"/>
      <c r="D74" s="21"/>
      <c r="E74" s="12"/>
      <c r="F74" s="12"/>
      <c r="G74" s="14"/>
      <c r="H74" s="15"/>
      <c r="I74" s="15">
        <f t="shared" si="0"/>
        <v>0</v>
      </c>
      <c r="J74" s="13"/>
    </row>
    <row r="75" spans="1:10" ht="12.5" x14ac:dyDescent="0.25">
      <c r="A75" s="12" t="s">
        <v>235</v>
      </c>
      <c r="B75" s="12"/>
      <c r="C75" s="12"/>
      <c r="D75" s="21"/>
      <c r="E75" s="12"/>
      <c r="F75" s="12"/>
      <c r="G75" s="14"/>
      <c r="H75" s="15"/>
      <c r="I75" s="15">
        <f t="shared" si="0"/>
        <v>0</v>
      </c>
      <c r="J75" s="13"/>
    </row>
    <row r="76" spans="1:10" ht="12.5" x14ac:dyDescent="0.25">
      <c r="A76" s="12" t="s">
        <v>238</v>
      </c>
      <c r="B76" s="12"/>
      <c r="C76" s="12"/>
      <c r="D76" s="21"/>
      <c r="E76" s="12"/>
      <c r="F76" s="12"/>
      <c r="G76" s="14"/>
      <c r="H76" s="15"/>
      <c r="I76" s="15">
        <f t="shared" si="0"/>
        <v>0</v>
      </c>
      <c r="J76" s="13"/>
    </row>
    <row r="77" spans="1:10" ht="12.5" x14ac:dyDescent="0.25">
      <c r="A77" s="12" t="s">
        <v>241</v>
      </c>
      <c r="B77" s="12"/>
      <c r="C77" s="12"/>
      <c r="D77" s="21"/>
      <c r="E77" s="12"/>
      <c r="F77" s="12"/>
      <c r="G77" s="14"/>
      <c r="H77" s="15"/>
      <c r="I77" s="15">
        <f t="shared" si="0"/>
        <v>0</v>
      </c>
      <c r="J77" s="13"/>
    </row>
    <row r="78" spans="1:10" ht="12.5" x14ac:dyDescent="0.25">
      <c r="A78" s="12" t="s">
        <v>244</v>
      </c>
      <c r="B78" s="12"/>
      <c r="C78" s="12"/>
      <c r="D78" s="21"/>
      <c r="E78" s="12"/>
      <c r="F78" s="12"/>
      <c r="G78" s="14"/>
      <c r="H78" s="15"/>
      <c r="I78" s="15">
        <f t="shared" si="0"/>
        <v>0</v>
      </c>
      <c r="J78" s="13"/>
    </row>
    <row r="79" spans="1:10" ht="12.5" x14ac:dyDescent="0.25">
      <c r="A79" s="12" t="s">
        <v>247</v>
      </c>
      <c r="B79" s="12"/>
      <c r="C79" s="12"/>
      <c r="D79" s="21"/>
      <c r="E79" s="12"/>
      <c r="F79" s="12"/>
      <c r="G79" s="14"/>
      <c r="H79" s="15"/>
      <c r="I79" s="15">
        <f t="shared" si="0"/>
        <v>0</v>
      </c>
      <c r="J79" s="13"/>
    </row>
    <row r="80" spans="1:10" ht="12.5" x14ac:dyDescent="0.25">
      <c r="A80" s="12" t="s">
        <v>250</v>
      </c>
      <c r="B80" s="12"/>
      <c r="C80" s="12"/>
      <c r="D80" s="21"/>
      <c r="E80" s="12"/>
      <c r="F80" s="12"/>
      <c r="G80" s="14"/>
      <c r="H80" s="15"/>
      <c r="I80" s="15">
        <f t="shared" si="0"/>
        <v>0</v>
      </c>
      <c r="J80" s="13"/>
    </row>
    <row r="81" spans="1:10" ht="12.5" x14ac:dyDescent="0.25">
      <c r="A81" s="12" t="s">
        <v>253</v>
      </c>
      <c r="B81" s="12"/>
      <c r="C81" s="12"/>
      <c r="D81" s="21"/>
      <c r="E81" s="12"/>
      <c r="F81" s="12"/>
      <c r="G81" s="14"/>
      <c r="H81" s="15"/>
      <c r="I81" s="15">
        <f t="shared" si="0"/>
        <v>0</v>
      </c>
      <c r="J81" s="13"/>
    </row>
    <row r="82" spans="1:10" ht="12.5" x14ac:dyDescent="0.25">
      <c r="A82" s="12" t="s">
        <v>256</v>
      </c>
      <c r="B82" s="12"/>
      <c r="C82" s="12"/>
      <c r="D82" s="21"/>
      <c r="E82" s="12"/>
      <c r="F82" s="12"/>
      <c r="G82" s="14"/>
      <c r="H82" s="15"/>
      <c r="I82" s="15">
        <f t="shared" si="0"/>
        <v>0</v>
      </c>
      <c r="J82" s="21"/>
    </row>
    <row r="83" spans="1:10" ht="12.5" x14ac:dyDescent="0.25">
      <c r="A83" s="12" t="s">
        <v>258</v>
      </c>
      <c r="B83" s="12"/>
      <c r="C83" s="12"/>
      <c r="D83" s="21"/>
      <c r="E83" s="12"/>
      <c r="F83" s="12"/>
      <c r="G83" s="14"/>
      <c r="H83" s="15"/>
      <c r="I83" s="15">
        <f t="shared" si="0"/>
        <v>0</v>
      </c>
      <c r="J83" s="13"/>
    </row>
    <row r="84" spans="1:10" ht="12.5" x14ac:dyDescent="0.25">
      <c r="A84" s="12" t="s">
        <v>261</v>
      </c>
      <c r="B84" s="12"/>
      <c r="C84" s="12"/>
      <c r="D84" s="21"/>
      <c r="E84" s="12"/>
      <c r="F84" s="12"/>
      <c r="G84" s="14"/>
      <c r="H84" s="15"/>
      <c r="I84" s="15">
        <f t="shared" si="0"/>
        <v>0</v>
      </c>
      <c r="J84" s="13"/>
    </row>
    <row r="85" spans="1:10" ht="12.5" x14ac:dyDescent="0.25">
      <c r="A85" s="12" t="s">
        <v>265</v>
      </c>
      <c r="B85" s="12"/>
      <c r="C85" s="12"/>
      <c r="D85" s="21"/>
      <c r="E85" s="12"/>
      <c r="F85" s="12"/>
      <c r="G85" s="14"/>
      <c r="H85" s="15"/>
      <c r="I85" s="15">
        <f t="shared" si="0"/>
        <v>0</v>
      </c>
      <c r="J85" s="13"/>
    </row>
    <row r="86" spans="1:10" ht="12.5" x14ac:dyDescent="0.25">
      <c r="A86" s="12" t="s">
        <v>266</v>
      </c>
      <c r="B86" s="12"/>
      <c r="C86" s="12"/>
      <c r="D86" s="21"/>
      <c r="E86" s="12"/>
      <c r="F86" s="12"/>
      <c r="G86" s="14"/>
      <c r="H86" s="15"/>
      <c r="I86" s="15">
        <f t="shared" si="0"/>
        <v>0</v>
      </c>
      <c r="J86" s="13"/>
    </row>
    <row r="87" spans="1:10" ht="12.5" x14ac:dyDescent="0.25">
      <c r="A87" s="12" t="s">
        <v>267</v>
      </c>
      <c r="B87" s="12"/>
      <c r="C87" s="12"/>
      <c r="D87" s="21"/>
      <c r="E87" s="12"/>
      <c r="F87" s="12"/>
      <c r="G87" s="14"/>
      <c r="H87" s="15"/>
      <c r="I87" s="15"/>
      <c r="J87" s="13"/>
    </row>
    <row r="88" spans="1:10" ht="12.5" x14ac:dyDescent="0.25">
      <c r="A88" s="12" t="s">
        <v>268</v>
      </c>
      <c r="B88" s="12"/>
      <c r="C88" s="12"/>
      <c r="D88" s="21"/>
      <c r="E88" s="12"/>
      <c r="F88" s="12"/>
      <c r="G88" s="14"/>
      <c r="H88" s="15"/>
      <c r="I88" s="15"/>
      <c r="J88" s="13"/>
    </row>
    <row r="89" spans="1:10" ht="12.5" x14ac:dyDescent="0.25">
      <c r="A89" s="12" t="s">
        <v>270</v>
      </c>
      <c r="B89" s="12"/>
      <c r="C89" s="12"/>
      <c r="D89" s="21"/>
      <c r="E89" s="12"/>
      <c r="F89" s="12"/>
      <c r="G89" s="14"/>
      <c r="H89" s="15"/>
      <c r="I89" s="15"/>
      <c r="J89" s="13"/>
    </row>
    <row r="90" spans="1:10" ht="12.5" x14ac:dyDescent="0.25">
      <c r="A90" s="12" t="s">
        <v>271</v>
      </c>
      <c r="B90" s="12"/>
      <c r="C90" s="12"/>
      <c r="D90" s="21"/>
      <c r="E90" s="12"/>
      <c r="F90" s="12"/>
      <c r="G90" s="14"/>
      <c r="H90" s="15"/>
      <c r="I90" s="15"/>
      <c r="J90" s="13"/>
    </row>
    <row r="91" spans="1:10" ht="12.5" x14ac:dyDescent="0.25">
      <c r="A91" s="12" t="s">
        <v>272</v>
      </c>
      <c r="B91" s="12"/>
      <c r="C91" s="12"/>
      <c r="D91" s="21"/>
      <c r="E91" s="12"/>
      <c r="F91" s="12"/>
      <c r="G91" s="14"/>
      <c r="H91" s="15"/>
      <c r="I91" s="15"/>
      <c r="J91" s="13"/>
    </row>
    <row r="92" spans="1:10" ht="12.5" x14ac:dyDescent="0.25">
      <c r="A92" s="12" t="s">
        <v>273</v>
      </c>
      <c r="B92" s="12"/>
      <c r="C92" s="12"/>
      <c r="D92" s="13"/>
      <c r="E92" s="12"/>
      <c r="F92" s="12"/>
      <c r="G92" s="14"/>
      <c r="H92" s="15"/>
      <c r="I92" s="15"/>
      <c r="J92" s="13"/>
    </row>
    <row r="93" spans="1:10" ht="12.5" x14ac:dyDescent="0.25">
      <c r="A93" s="12" t="s">
        <v>274</v>
      </c>
      <c r="B93" s="12"/>
      <c r="C93" s="12"/>
      <c r="D93" s="13"/>
      <c r="E93" s="12"/>
      <c r="F93" s="12"/>
      <c r="G93" s="14"/>
      <c r="H93" s="15"/>
      <c r="I93" s="15"/>
      <c r="J93" s="13"/>
    </row>
    <row r="94" spans="1:10" ht="12.5" x14ac:dyDescent="0.25">
      <c r="A94" s="12" t="s">
        <v>275</v>
      </c>
      <c r="B94" s="12"/>
      <c r="C94" s="12"/>
      <c r="D94" s="13"/>
      <c r="E94" s="12"/>
      <c r="F94" s="12"/>
      <c r="G94" s="14"/>
      <c r="H94" s="15"/>
      <c r="I94" s="15"/>
      <c r="J94" s="13"/>
    </row>
    <row r="95" spans="1:10" ht="12.5" x14ac:dyDescent="0.25">
      <c r="A95" s="12" t="s">
        <v>276</v>
      </c>
      <c r="B95" s="12"/>
      <c r="C95" s="12"/>
      <c r="D95" s="13"/>
      <c r="E95" s="12"/>
      <c r="F95" s="12"/>
      <c r="G95" s="14"/>
      <c r="H95" s="15"/>
      <c r="I95" s="15"/>
      <c r="J95" s="13"/>
    </row>
    <row r="96" spans="1:10" ht="12.5" x14ac:dyDescent="0.25">
      <c r="A96" s="12" t="s">
        <v>277</v>
      </c>
      <c r="B96" s="12"/>
      <c r="C96" s="12"/>
      <c r="D96" s="13"/>
      <c r="E96" s="12"/>
      <c r="F96" s="12"/>
      <c r="G96" s="14"/>
      <c r="H96" s="15"/>
      <c r="I96" s="15"/>
      <c r="J96" s="13"/>
    </row>
    <row r="97" spans="1:10" ht="12.5" x14ac:dyDescent="0.25">
      <c r="A97" s="12" t="s">
        <v>278</v>
      </c>
      <c r="B97" s="12"/>
      <c r="C97" s="12"/>
      <c r="D97" s="13"/>
      <c r="E97" s="12"/>
      <c r="F97" s="12"/>
      <c r="G97" s="14"/>
      <c r="H97" s="15"/>
      <c r="I97" s="15"/>
      <c r="J97" s="13"/>
    </row>
    <row r="98" spans="1:10" ht="12.5" x14ac:dyDescent="0.25">
      <c r="A98" s="12" t="s">
        <v>279</v>
      </c>
      <c r="B98" s="12"/>
      <c r="C98" s="12"/>
      <c r="D98" s="13"/>
      <c r="E98" s="12"/>
      <c r="F98" s="12"/>
      <c r="G98" s="14"/>
      <c r="H98" s="15"/>
      <c r="I98" s="15"/>
      <c r="J98" s="14"/>
    </row>
    <row r="99" spans="1:10" ht="12.5" x14ac:dyDescent="0.25">
      <c r="A99" s="12" t="s">
        <v>280</v>
      </c>
      <c r="B99" s="12"/>
      <c r="C99" s="12"/>
      <c r="D99" s="13"/>
      <c r="E99" s="12"/>
      <c r="F99" s="12"/>
      <c r="G99" s="14"/>
      <c r="H99" s="15"/>
      <c r="I99" s="15"/>
      <c r="J99" s="13"/>
    </row>
    <row r="100" spans="1:10" ht="12.5" x14ac:dyDescent="0.25">
      <c r="A100" s="12" t="s">
        <v>281</v>
      </c>
      <c r="B100" s="12"/>
      <c r="C100" s="12"/>
      <c r="D100" s="13"/>
      <c r="E100" s="12"/>
      <c r="F100" s="12"/>
      <c r="G100" s="14"/>
      <c r="H100" s="15"/>
      <c r="I100" s="15"/>
      <c r="J100" s="21"/>
    </row>
    <row r="101" spans="1:10" ht="12.5" x14ac:dyDescent="0.25">
      <c r="A101" s="12" t="s">
        <v>282</v>
      </c>
      <c r="B101" s="12"/>
      <c r="C101" s="12"/>
      <c r="D101" s="13"/>
      <c r="E101" s="12"/>
      <c r="F101" s="12"/>
      <c r="G101" s="14"/>
      <c r="H101" s="15"/>
      <c r="I101" s="15"/>
      <c r="J101" s="13"/>
    </row>
    <row r="102" spans="1:10" ht="12.5" x14ac:dyDescent="0.25">
      <c r="A102" s="12" t="s">
        <v>283</v>
      </c>
      <c r="B102" s="12"/>
      <c r="C102" s="12"/>
      <c r="D102" s="13"/>
      <c r="E102" s="12"/>
      <c r="F102" s="12"/>
      <c r="G102" s="14"/>
      <c r="H102" s="15"/>
      <c r="I102" s="15"/>
      <c r="J102" s="13"/>
    </row>
    <row r="103" spans="1:10" ht="12.5" x14ac:dyDescent="0.25">
      <c r="A103" s="12" t="s">
        <v>284</v>
      </c>
      <c r="B103" s="12"/>
      <c r="C103" s="12"/>
      <c r="D103" s="13"/>
      <c r="E103" s="12"/>
      <c r="F103" s="12"/>
      <c r="G103" s="14"/>
      <c r="H103" s="15"/>
      <c r="I103" s="15"/>
      <c r="J103" s="13"/>
    </row>
    <row r="104" spans="1:10" ht="12.5" x14ac:dyDescent="0.25">
      <c r="A104" s="12" t="s">
        <v>285</v>
      </c>
      <c r="B104" s="12"/>
      <c r="C104" s="12"/>
      <c r="D104" s="13"/>
      <c r="E104" s="12"/>
      <c r="F104" s="12"/>
      <c r="G104" s="14"/>
      <c r="H104" s="15"/>
      <c r="I104" s="15"/>
      <c r="J104" s="13"/>
    </row>
    <row r="105" spans="1:10" ht="12.5" x14ac:dyDescent="0.25">
      <c r="A105" s="12" t="s">
        <v>286</v>
      </c>
      <c r="B105" s="12"/>
      <c r="C105" s="12"/>
      <c r="D105" s="13"/>
      <c r="E105" s="12"/>
      <c r="F105" s="12"/>
      <c r="G105" s="14"/>
      <c r="H105" s="15"/>
      <c r="I105" s="15"/>
      <c r="J105" s="13"/>
    </row>
    <row r="106" spans="1:10" ht="12.5" x14ac:dyDescent="0.25">
      <c r="A106" s="12" t="s">
        <v>287</v>
      </c>
      <c r="B106" s="12"/>
      <c r="C106" s="12"/>
      <c r="D106" s="13"/>
      <c r="E106" s="12"/>
      <c r="F106" s="12"/>
      <c r="G106" s="14"/>
      <c r="H106" s="15"/>
      <c r="I106" s="15"/>
      <c r="J106" s="13"/>
    </row>
    <row r="107" spans="1:10" ht="12.5" x14ac:dyDescent="0.25">
      <c r="A107" s="12" t="s">
        <v>289</v>
      </c>
      <c r="B107" s="12"/>
      <c r="C107" s="12"/>
      <c r="D107" s="13"/>
      <c r="E107" s="12"/>
      <c r="F107" s="12"/>
      <c r="G107" s="14"/>
      <c r="H107" s="15"/>
      <c r="I107" s="15"/>
      <c r="J107" s="13"/>
    </row>
    <row r="108" spans="1:10" ht="12.5" x14ac:dyDescent="0.25">
      <c r="A108" s="12" t="s">
        <v>290</v>
      </c>
      <c r="B108" s="12"/>
      <c r="C108" s="12"/>
      <c r="D108" s="13"/>
      <c r="E108" s="12"/>
      <c r="F108" s="12"/>
      <c r="G108" s="14"/>
      <c r="H108" s="15"/>
      <c r="I108" s="15"/>
      <c r="J108" s="13"/>
    </row>
    <row r="109" spans="1:10" ht="12.5" x14ac:dyDescent="0.25">
      <c r="A109" s="12" t="s">
        <v>291</v>
      </c>
      <c r="B109" s="12"/>
      <c r="C109" s="12"/>
      <c r="D109" s="13"/>
      <c r="E109" s="12"/>
      <c r="F109" s="12"/>
      <c r="G109" s="14"/>
      <c r="H109" s="15"/>
      <c r="I109" s="15"/>
      <c r="J109" s="13"/>
    </row>
    <row r="110" spans="1:10" ht="12.5" x14ac:dyDescent="0.25">
      <c r="A110" s="12" t="s">
        <v>292</v>
      </c>
      <c r="B110" s="12"/>
      <c r="C110" s="12"/>
      <c r="D110" s="13"/>
      <c r="E110" s="12"/>
      <c r="F110" s="12"/>
      <c r="G110" s="14"/>
      <c r="H110" s="15"/>
      <c r="I110" s="15"/>
      <c r="J110" s="13"/>
    </row>
    <row r="111" spans="1:10" ht="12.5" x14ac:dyDescent="0.25">
      <c r="A111" s="12" t="s">
        <v>293</v>
      </c>
      <c r="B111" s="12"/>
      <c r="C111" s="12"/>
      <c r="D111" s="13"/>
      <c r="E111" s="12"/>
      <c r="F111" s="12"/>
      <c r="G111" s="14"/>
      <c r="H111" s="15"/>
      <c r="I111" s="15"/>
      <c r="J111" s="13"/>
    </row>
    <row r="112" spans="1:10" ht="12.5" x14ac:dyDescent="0.25">
      <c r="A112" s="12" t="s">
        <v>294</v>
      </c>
      <c r="B112" s="12"/>
      <c r="C112" s="12"/>
      <c r="D112" s="13"/>
      <c r="E112" s="12"/>
      <c r="F112" s="12"/>
      <c r="G112" s="14"/>
      <c r="H112" s="15"/>
      <c r="I112" s="15"/>
      <c r="J112" s="13"/>
    </row>
    <row r="113" spans="1:10" ht="12.5" x14ac:dyDescent="0.25">
      <c r="A113" s="12" t="s">
        <v>295</v>
      </c>
      <c r="B113" s="12"/>
      <c r="C113" s="12"/>
      <c r="D113" s="13"/>
      <c r="E113" s="12"/>
      <c r="F113" s="12"/>
      <c r="G113" s="14"/>
      <c r="H113" s="15"/>
      <c r="I113" s="15"/>
      <c r="J113" s="13"/>
    </row>
    <row r="114" spans="1:10" ht="12.5" x14ac:dyDescent="0.25">
      <c r="A114" s="12" t="s">
        <v>296</v>
      </c>
      <c r="B114" s="12"/>
      <c r="C114" s="12"/>
      <c r="D114" s="13"/>
      <c r="E114" s="12"/>
      <c r="F114" s="12"/>
      <c r="G114" s="14"/>
      <c r="H114" s="15"/>
      <c r="I114" s="15"/>
      <c r="J114" s="13"/>
    </row>
    <row r="115" spans="1:10" ht="12.5" x14ac:dyDescent="0.25">
      <c r="A115" s="12" t="s">
        <v>297</v>
      </c>
      <c r="B115" s="12"/>
      <c r="C115" s="12"/>
      <c r="D115" s="13"/>
      <c r="E115" s="12"/>
      <c r="F115" s="12"/>
      <c r="G115" s="14"/>
      <c r="H115" s="15"/>
      <c r="I115" s="15"/>
      <c r="J115" s="13"/>
    </row>
    <row r="116" spans="1:10" ht="12.5" x14ac:dyDescent="0.25">
      <c r="A116" s="12" t="s">
        <v>298</v>
      </c>
      <c r="B116" s="12"/>
      <c r="C116" s="12"/>
      <c r="D116" s="13"/>
      <c r="E116" s="12"/>
      <c r="F116" s="12"/>
      <c r="G116" s="14"/>
      <c r="H116" s="15"/>
      <c r="I116" s="15"/>
      <c r="J116" s="13"/>
    </row>
    <row r="117" spans="1:10" ht="12.5" x14ac:dyDescent="0.25">
      <c r="A117" s="12" t="s">
        <v>994</v>
      </c>
      <c r="B117" s="12"/>
      <c r="C117" s="12"/>
      <c r="D117" s="13"/>
      <c r="E117" s="12"/>
      <c r="F117" s="12"/>
      <c r="G117" s="14"/>
      <c r="H117" s="15"/>
      <c r="I117" s="15">
        <f t="shared" ref="I117:I194" si="1">F117*H117</f>
        <v>0</v>
      </c>
      <c r="J117" s="13"/>
    </row>
    <row r="118" spans="1:10" ht="12.5" x14ac:dyDescent="0.25">
      <c r="A118" s="12" t="s">
        <v>995</v>
      </c>
      <c r="B118" s="12"/>
      <c r="C118" s="12"/>
      <c r="D118" s="13"/>
      <c r="E118" s="12"/>
      <c r="F118" s="12"/>
      <c r="G118" s="14"/>
      <c r="H118" s="15"/>
      <c r="I118" s="15">
        <f t="shared" si="1"/>
        <v>0</v>
      </c>
      <c r="J118" s="13"/>
    </row>
    <row r="119" spans="1:10" ht="12.5" x14ac:dyDescent="0.25">
      <c r="A119" s="12"/>
      <c r="B119" s="12"/>
      <c r="C119" s="12"/>
      <c r="D119" s="13"/>
      <c r="E119" s="12"/>
      <c r="F119" s="12"/>
      <c r="G119" s="14"/>
      <c r="H119" s="15"/>
      <c r="I119" s="15">
        <f t="shared" si="1"/>
        <v>0</v>
      </c>
      <c r="J119" s="13"/>
    </row>
    <row r="120" spans="1:10" ht="12.5" x14ac:dyDescent="0.25">
      <c r="A120" s="12"/>
      <c r="B120" s="12"/>
      <c r="C120" s="12"/>
      <c r="D120" s="13"/>
      <c r="E120" s="12"/>
      <c r="F120" s="12"/>
      <c r="G120" s="14"/>
      <c r="H120" s="15"/>
      <c r="I120" s="15">
        <f t="shared" si="1"/>
        <v>0</v>
      </c>
      <c r="J120" s="13"/>
    </row>
    <row r="121" spans="1:10" ht="12.5" x14ac:dyDescent="0.25">
      <c r="A121" s="12"/>
      <c r="B121" s="12"/>
      <c r="C121" s="12"/>
      <c r="D121" s="13"/>
      <c r="E121" s="12"/>
      <c r="F121" s="12"/>
      <c r="G121" s="14"/>
      <c r="H121" s="15"/>
      <c r="I121" s="15">
        <f t="shared" si="1"/>
        <v>0</v>
      </c>
      <c r="J121" s="13"/>
    </row>
    <row r="122" spans="1:10" ht="12.5" x14ac:dyDescent="0.25">
      <c r="A122" s="12"/>
      <c r="B122" s="12"/>
      <c r="C122" s="12"/>
      <c r="D122" s="13"/>
      <c r="E122" s="12"/>
      <c r="F122" s="12"/>
      <c r="G122" s="14"/>
      <c r="H122" s="15"/>
      <c r="I122" s="15">
        <f t="shared" si="1"/>
        <v>0</v>
      </c>
      <c r="J122" s="13"/>
    </row>
    <row r="123" spans="1:10" ht="12.5" x14ac:dyDescent="0.25">
      <c r="A123" s="12"/>
      <c r="B123" s="12"/>
      <c r="C123" s="12"/>
      <c r="D123" s="13"/>
      <c r="E123" s="12"/>
      <c r="F123" s="12"/>
      <c r="G123" s="14"/>
      <c r="H123" s="15"/>
      <c r="I123" s="15">
        <f t="shared" si="1"/>
        <v>0</v>
      </c>
      <c r="J123" s="13"/>
    </row>
    <row r="124" spans="1:10" ht="12.5" x14ac:dyDescent="0.25">
      <c r="A124" s="12"/>
      <c r="B124" s="12"/>
      <c r="C124" s="12"/>
      <c r="D124" s="13"/>
      <c r="E124" s="12"/>
      <c r="F124" s="12"/>
      <c r="G124" s="14"/>
      <c r="H124" s="15"/>
      <c r="I124" s="15">
        <f t="shared" si="1"/>
        <v>0</v>
      </c>
      <c r="J124" s="13"/>
    </row>
    <row r="125" spans="1:10" ht="12.5" x14ac:dyDescent="0.25">
      <c r="A125" s="12"/>
      <c r="B125" s="12"/>
      <c r="C125" s="12"/>
      <c r="D125" s="13"/>
      <c r="E125" s="12"/>
      <c r="F125" s="12"/>
      <c r="G125" s="14"/>
      <c r="H125" s="15"/>
      <c r="I125" s="15">
        <f t="shared" si="1"/>
        <v>0</v>
      </c>
      <c r="J125" s="13"/>
    </row>
    <row r="126" spans="1:10" ht="12.5" x14ac:dyDescent="0.25">
      <c r="A126" s="12"/>
      <c r="B126" s="12"/>
      <c r="C126" s="12"/>
      <c r="D126" s="13"/>
      <c r="E126" s="12"/>
      <c r="F126" s="12"/>
      <c r="G126" s="14"/>
      <c r="H126" s="15"/>
      <c r="I126" s="15">
        <f t="shared" si="1"/>
        <v>0</v>
      </c>
      <c r="J126" s="13"/>
    </row>
    <row r="127" spans="1:10" ht="12.5" x14ac:dyDescent="0.25">
      <c r="A127" s="12"/>
      <c r="B127" s="12"/>
      <c r="C127" s="12"/>
      <c r="D127" s="13"/>
      <c r="E127" s="12"/>
      <c r="F127" s="12"/>
      <c r="G127" s="14"/>
      <c r="H127" s="15"/>
      <c r="I127" s="15">
        <f t="shared" si="1"/>
        <v>0</v>
      </c>
      <c r="J127" s="13"/>
    </row>
    <row r="128" spans="1:10" ht="12.5" x14ac:dyDescent="0.25">
      <c r="A128" s="12"/>
      <c r="B128" s="12"/>
      <c r="C128" s="12"/>
      <c r="D128" s="13"/>
      <c r="E128" s="12"/>
      <c r="F128" s="12"/>
      <c r="G128" s="14"/>
      <c r="H128" s="15"/>
      <c r="I128" s="15">
        <f t="shared" si="1"/>
        <v>0</v>
      </c>
      <c r="J128" s="13"/>
    </row>
    <row r="129" spans="1:10" ht="12.5" x14ac:dyDescent="0.25">
      <c r="A129" s="12"/>
      <c r="B129" s="12"/>
      <c r="C129" s="12"/>
      <c r="D129" s="13"/>
      <c r="E129" s="12"/>
      <c r="F129" s="12"/>
      <c r="G129" s="14"/>
      <c r="H129" s="15"/>
      <c r="I129" s="15">
        <f t="shared" si="1"/>
        <v>0</v>
      </c>
      <c r="J129" s="13"/>
    </row>
    <row r="130" spans="1:10" ht="12.5" x14ac:dyDescent="0.25">
      <c r="A130" s="12"/>
      <c r="B130" s="12"/>
      <c r="C130" s="12"/>
      <c r="D130" s="13"/>
      <c r="E130" s="12"/>
      <c r="F130" s="12"/>
      <c r="G130" s="14"/>
      <c r="H130" s="15"/>
      <c r="I130" s="15">
        <f t="shared" si="1"/>
        <v>0</v>
      </c>
      <c r="J130" s="13"/>
    </row>
    <row r="131" spans="1:10" ht="12.5" x14ac:dyDescent="0.25">
      <c r="A131" s="12"/>
      <c r="B131" s="12"/>
      <c r="C131" s="12"/>
      <c r="D131" s="13"/>
      <c r="E131" s="12"/>
      <c r="F131" s="12"/>
      <c r="G131" s="14"/>
      <c r="H131" s="15"/>
      <c r="I131" s="15">
        <f t="shared" si="1"/>
        <v>0</v>
      </c>
      <c r="J131" s="13"/>
    </row>
    <row r="132" spans="1:10" ht="12.5" x14ac:dyDescent="0.25">
      <c r="A132" s="12"/>
      <c r="B132" s="12"/>
      <c r="C132" s="12"/>
      <c r="D132" s="13"/>
      <c r="E132" s="12"/>
      <c r="F132" s="12"/>
      <c r="G132" s="14"/>
      <c r="H132" s="15"/>
      <c r="I132" s="15">
        <f t="shared" si="1"/>
        <v>0</v>
      </c>
      <c r="J132" s="13"/>
    </row>
    <row r="133" spans="1:10" ht="12.5" x14ac:dyDescent="0.25">
      <c r="A133" s="12"/>
      <c r="B133" s="12"/>
      <c r="C133" s="12"/>
      <c r="D133" s="13"/>
      <c r="E133" s="12"/>
      <c r="F133" s="12"/>
      <c r="G133" s="14"/>
      <c r="H133" s="15"/>
      <c r="I133" s="15">
        <f t="shared" si="1"/>
        <v>0</v>
      </c>
      <c r="J133" s="13"/>
    </row>
    <row r="134" spans="1:10" ht="12.5" x14ac:dyDescent="0.25">
      <c r="A134" s="12"/>
      <c r="B134" s="12"/>
      <c r="C134" s="12"/>
      <c r="D134" s="13"/>
      <c r="E134" s="12"/>
      <c r="F134" s="12"/>
      <c r="G134" s="14"/>
      <c r="H134" s="15"/>
      <c r="I134" s="15">
        <f t="shared" si="1"/>
        <v>0</v>
      </c>
      <c r="J134" s="13"/>
    </row>
    <row r="135" spans="1:10" ht="12.5" x14ac:dyDescent="0.25">
      <c r="A135" s="12"/>
      <c r="B135" s="12"/>
      <c r="C135" s="12"/>
      <c r="D135" s="13"/>
      <c r="E135" s="12"/>
      <c r="F135" s="12"/>
      <c r="G135" s="14"/>
      <c r="H135" s="15"/>
      <c r="I135" s="15">
        <f t="shared" si="1"/>
        <v>0</v>
      </c>
      <c r="J135" s="13"/>
    </row>
    <row r="136" spans="1:10" ht="12.5" x14ac:dyDescent="0.25">
      <c r="A136" s="12"/>
      <c r="B136" s="12"/>
      <c r="C136" s="12"/>
      <c r="D136" s="13"/>
      <c r="E136" s="12"/>
      <c r="F136" s="12"/>
      <c r="G136" s="14"/>
      <c r="H136" s="15"/>
      <c r="I136" s="15">
        <f t="shared" si="1"/>
        <v>0</v>
      </c>
      <c r="J136" s="13"/>
    </row>
    <row r="137" spans="1:10" ht="12.5" x14ac:dyDescent="0.25">
      <c r="A137" s="12"/>
      <c r="B137" s="12"/>
      <c r="C137" s="12"/>
      <c r="D137" s="13"/>
      <c r="E137" s="12"/>
      <c r="F137" s="12"/>
      <c r="G137" s="14"/>
      <c r="H137" s="15"/>
      <c r="I137" s="15">
        <f t="shared" si="1"/>
        <v>0</v>
      </c>
      <c r="J137" s="13"/>
    </row>
    <row r="138" spans="1:10" ht="12.5" x14ac:dyDescent="0.25">
      <c r="A138" s="12"/>
      <c r="B138" s="12"/>
      <c r="C138" s="12"/>
      <c r="D138" s="13"/>
      <c r="E138" s="12"/>
      <c r="F138" s="12"/>
      <c r="G138" s="14"/>
      <c r="H138" s="15"/>
      <c r="I138" s="15">
        <f t="shared" si="1"/>
        <v>0</v>
      </c>
      <c r="J138" s="13"/>
    </row>
    <row r="139" spans="1:10" ht="12.5" x14ac:dyDescent="0.25">
      <c r="A139" s="12"/>
      <c r="B139" s="12"/>
      <c r="C139" s="12"/>
      <c r="D139" s="13"/>
      <c r="E139" s="12"/>
      <c r="F139" s="12"/>
      <c r="G139" s="14"/>
      <c r="H139" s="15"/>
      <c r="I139" s="15">
        <f t="shared" si="1"/>
        <v>0</v>
      </c>
      <c r="J139" s="13"/>
    </row>
    <row r="140" spans="1:10" ht="12.5" x14ac:dyDescent="0.25">
      <c r="A140" s="12"/>
      <c r="B140" s="12"/>
      <c r="C140" s="12"/>
      <c r="D140" s="13"/>
      <c r="E140" s="12"/>
      <c r="F140" s="12"/>
      <c r="G140" s="14"/>
      <c r="H140" s="15"/>
      <c r="I140" s="15">
        <f t="shared" si="1"/>
        <v>0</v>
      </c>
      <c r="J140" s="13"/>
    </row>
    <row r="141" spans="1:10" ht="12.5" x14ac:dyDescent="0.25">
      <c r="A141" s="12"/>
      <c r="B141" s="12"/>
      <c r="C141" s="12"/>
      <c r="D141" s="13"/>
      <c r="E141" s="12"/>
      <c r="F141" s="12"/>
      <c r="G141" s="14"/>
      <c r="H141" s="15"/>
      <c r="I141" s="15">
        <f t="shared" si="1"/>
        <v>0</v>
      </c>
      <c r="J141" s="13"/>
    </row>
    <row r="142" spans="1:10" ht="12.5" x14ac:dyDescent="0.25">
      <c r="A142" s="12"/>
      <c r="B142" s="12"/>
      <c r="C142" s="12"/>
      <c r="D142" s="13"/>
      <c r="E142" s="12"/>
      <c r="F142" s="12"/>
      <c r="G142" s="14"/>
      <c r="H142" s="15"/>
      <c r="I142" s="15">
        <f t="shared" si="1"/>
        <v>0</v>
      </c>
      <c r="J142" s="13"/>
    </row>
    <row r="143" spans="1:10" ht="12.5" x14ac:dyDescent="0.25">
      <c r="A143" s="12"/>
      <c r="B143" s="12"/>
      <c r="C143" s="12"/>
      <c r="D143" s="13"/>
      <c r="E143" s="12"/>
      <c r="F143" s="12"/>
      <c r="G143" s="14"/>
      <c r="H143" s="15"/>
      <c r="I143" s="15">
        <f t="shared" si="1"/>
        <v>0</v>
      </c>
      <c r="J143" s="13"/>
    </row>
    <row r="144" spans="1:10" ht="12.5" x14ac:dyDescent="0.25">
      <c r="A144" s="12"/>
      <c r="B144" s="12"/>
      <c r="C144" s="12"/>
      <c r="D144" s="13"/>
      <c r="E144" s="12"/>
      <c r="F144" s="12"/>
      <c r="G144" s="14"/>
      <c r="H144" s="15"/>
      <c r="I144" s="15">
        <f t="shared" si="1"/>
        <v>0</v>
      </c>
      <c r="J144" s="13"/>
    </row>
    <row r="145" spans="1:10" ht="12.5" x14ac:dyDescent="0.25">
      <c r="A145" s="12"/>
      <c r="B145" s="12"/>
      <c r="C145" s="12"/>
      <c r="D145" s="13"/>
      <c r="E145" s="12"/>
      <c r="F145" s="12"/>
      <c r="G145" s="14"/>
      <c r="H145" s="15"/>
      <c r="I145" s="15">
        <f t="shared" si="1"/>
        <v>0</v>
      </c>
      <c r="J145" s="13"/>
    </row>
    <row r="146" spans="1:10" ht="12.5" x14ac:dyDescent="0.25">
      <c r="A146" s="12"/>
      <c r="B146" s="12"/>
      <c r="C146" s="12"/>
      <c r="D146" s="13"/>
      <c r="E146" s="12"/>
      <c r="F146" s="12"/>
      <c r="G146" s="14"/>
      <c r="H146" s="15"/>
      <c r="I146" s="15">
        <f t="shared" si="1"/>
        <v>0</v>
      </c>
      <c r="J146" s="13"/>
    </row>
    <row r="147" spans="1:10" ht="12.5" x14ac:dyDescent="0.25">
      <c r="A147" s="12"/>
      <c r="B147" s="12"/>
      <c r="C147" s="12"/>
      <c r="D147" s="13"/>
      <c r="E147" s="12"/>
      <c r="F147" s="12"/>
      <c r="G147" s="14"/>
      <c r="H147" s="15"/>
      <c r="I147" s="15">
        <f t="shared" si="1"/>
        <v>0</v>
      </c>
      <c r="J147" s="13"/>
    </row>
    <row r="148" spans="1:10" ht="12.5" x14ac:dyDescent="0.25">
      <c r="A148" s="12"/>
      <c r="B148" s="12"/>
      <c r="C148" s="12"/>
      <c r="D148" s="13"/>
      <c r="E148" s="12"/>
      <c r="F148" s="12"/>
      <c r="G148" s="14"/>
      <c r="H148" s="15"/>
      <c r="I148" s="15">
        <f t="shared" si="1"/>
        <v>0</v>
      </c>
      <c r="J148" s="13"/>
    </row>
    <row r="149" spans="1:10" ht="12.5" x14ac:dyDescent="0.25">
      <c r="A149" s="12"/>
      <c r="B149" s="12"/>
      <c r="C149" s="12"/>
      <c r="D149" s="13"/>
      <c r="E149" s="12"/>
      <c r="F149" s="12"/>
      <c r="G149" s="14"/>
      <c r="H149" s="15"/>
      <c r="I149" s="15">
        <f t="shared" si="1"/>
        <v>0</v>
      </c>
      <c r="J149" s="13"/>
    </row>
    <row r="150" spans="1:10" ht="12.5" x14ac:dyDescent="0.25">
      <c r="A150" s="12"/>
      <c r="B150" s="12"/>
      <c r="C150" s="12"/>
      <c r="D150" s="13"/>
      <c r="E150" s="12"/>
      <c r="F150" s="12"/>
      <c r="G150" s="14"/>
      <c r="H150" s="15"/>
      <c r="I150" s="15">
        <f t="shared" si="1"/>
        <v>0</v>
      </c>
      <c r="J150" s="13"/>
    </row>
    <row r="151" spans="1:10" ht="12.5" x14ac:dyDescent="0.25">
      <c r="A151" s="12"/>
      <c r="B151" s="12"/>
      <c r="C151" s="12"/>
      <c r="D151" s="13"/>
      <c r="E151" s="12"/>
      <c r="F151" s="12"/>
      <c r="G151" s="14"/>
      <c r="H151" s="15"/>
      <c r="I151" s="15">
        <f t="shared" si="1"/>
        <v>0</v>
      </c>
      <c r="J151" s="13"/>
    </row>
    <row r="152" spans="1:10" ht="12.5" x14ac:dyDescent="0.25">
      <c r="A152" s="12"/>
      <c r="B152" s="12"/>
      <c r="C152" s="12"/>
      <c r="D152" s="13"/>
      <c r="E152" s="12"/>
      <c r="F152" s="12"/>
      <c r="G152" s="14"/>
      <c r="H152" s="15"/>
      <c r="I152" s="15">
        <f t="shared" si="1"/>
        <v>0</v>
      </c>
      <c r="J152" s="13"/>
    </row>
    <row r="153" spans="1:10" ht="12.5" x14ac:dyDescent="0.25">
      <c r="A153" s="12"/>
      <c r="B153" s="12"/>
      <c r="C153" s="12"/>
      <c r="D153" s="13"/>
      <c r="E153" s="12"/>
      <c r="F153" s="12"/>
      <c r="G153" s="14"/>
      <c r="H153" s="15"/>
      <c r="I153" s="15">
        <f t="shared" si="1"/>
        <v>0</v>
      </c>
      <c r="J153" s="13"/>
    </row>
    <row r="154" spans="1:10" ht="12.5" x14ac:dyDescent="0.25">
      <c r="A154" s="12"/>
      <c r="B154" s="12"/>
      <c r="C154" s="12"/>
      <c r="D154" s="13"/>
      <c r="E154" s="12"/>
      <c r="F154" s="12"/>
      <c r="G154" s="14"/>
      <c r="H154" s="15"/>
      <c r="I154" s="15">
        <f t="shared" si="1"/>
        <v>0</v>
      </c>
      <c r="J154" s="13"/>
    </row>
    <row r="155" spans="1:10" ht="12.5" x14ac:dyDescent="0.25">
      <c r="A155" s="12"/>
      <c r="B155" s="12"/>
      <c r="C155" s="12"/>
      <c r="D155" s="13"/>
      <c r="E155" s="12"/>
      <c r="F155" s="12"/>
      <c r="G155" s="14"/>
      <c r="H155" s="15"/>
      <c r="I155" s="15">
        <f t="shared" si="1"/>
        <v>0</v>
      </c>
      <c r="J155" s="13"/>
    </row>
    <row r="156" spans="1:10" ht="12.5" x14ac:dyDescent="0.25">
      <c r="A156" s="12"/>
      <c r="B156" s="12"/>
      <c r="C156" s="12"/>
      <c r="D156" s="13"/>
      <c r="E156" s="12"/>
      <c r="F156" s="12"/>
      <c r="G156" s="14"/>
      <c r="H156" s="15"/>
      <c r="I156" s="15">
        <f t="shared" si="1"/>
        <v>0</v>
      </c>
      <c r="J156" s="13"/>
    </row>
    <row r="157" spans="1:10" ht="12.5" x14ac:dyDescent="0.25">
      <c r="A157" s="12"/>
      <c r="B157" s="12"/>
      <c r="C157" s="12"/>
      <c r="D157" s="13"/>
      <c r="E157" s="12"/>
      <c r="F157" s="12"/>
      <c r="G157" s="14"/>
      <c r="H157" s="15"/>
      <c r="I157" s="15">
        <f t="shared" si="1"/>
        <v>0</v>
      </c>
      <c r="J157" s="13"/>
    </row>
    <row r="158" spans="1:10" ht="12.5" x14ac:dyDescent="0.25">
      <c r="A158" s="12"/>
      <c r="B158" s="12"/>
      <c r="C158" s="12"/>
      <c r="D158" s="13"/>
      <c r="E158" s="12"/>
      <c r="F158" s="12"/>
      <c r="G158" s="14"/>
      <c r="H158" s="15"/>
      <c r="I158" s="15">
        <f t="shared" si="1"/>
        <v>0</v>
      </c>
      <c r="J158" s="13"/>
    </row>
    <row r="159" spans="1:10" ht="12.5" x14ac:dyDescent="0.25">
      <c r="A159" s="12"/>
      <c r="B159" s="12"/>
      <c r="C159" s="12"/>
      <c r="D159" s="13"/>
      <c r="E159" s="12"/>
      <c r="F159" s="12"/>
      <c r="G159" s="14"/>
      <c r="H159" s="15"/>
      <c r="I159" s="15">
        <f t="shared" si="1"/>
        <v>0</v>
      </c>
      <c r="J159" s="13"/>
    </row>
    <row r="160" spans="1:10" ht="12.5" x14ac:dyDescent="0.25">
      <c r="A160" s="12"/>
      <c r="B160" s="12"/>
      <c r="C160" s="12"/>
      <c r="D160" s="13"/>
      <c r="E160" s="12"/>
      <c r="F160" s="12"/>
      <c r="G160" s="14"/>
      <c r="H160" s="15"/>
      <c r="I160" s="15">
        <f t="shared" si="1"/>
        <v>0</v>
      </c>
      <c r="J160" s="13"/>
    </row>
    <row r="161" spans="1:10" ht="12.5" x14ac:dyDescent="0.25">
      <c r="A161" s="12"/>
      <c r="B161" s="12"/>
      <c r="C161" s="12"/>
      <c r="D161" s="13"/>
      <c r="E161" s="12"/>
      <c r="F161" s="12"/>
      <c r="G161" s="14"/>
      <c r="H161" s="15"/>
      <c r="I161" s="15">
        <f t="shared" si="1"/>
        <v>0</v>
      </c>
      <c r="J161" s="13"/>
    </row>
    <row r="162" spans="1:10" ht="12.5" x14ac:dyDescent="0.25">
      <c r="A162" s="12"/>
      <c r="B162" s="12"/>
      <c r="C162" s="12"/>
      <c r="D162" s="13"/>
      <c r="E162" s="12"/>
      <c r="F162" s="12"/>
      <c r="G162" s="14"/>
      <c r="H162" s="15"/>
      <c r="I162" s="15">
        <f t="shared" si="1"/>
        <v>0</v>
      </c>
      <c r="J162" s="13"/>
    </row>
    <row r="163" spans="1:10" ht="12.5" x14ac:dyDescent="0.25">
      <c r="A163" s="12"/>
      <c r="B163" s="12"/>
      <c r="C163" s="12"/>
      <c r="D163" s="13"/>
      <c r="E163" s="12"/>
      <c r="F163" s="12"/>
      <c r="G163" s="14"/>
      <c r="H163" s="15"/>
      <c r="I163" s="15">
        <f t="shared" si="1"/>
        <v>0</v>
      </c>
      <c r="J163" s="13"/>
    </row>
    <row r="164" spans="1:10" ht="12.5" x14ac:dyDescent="0.25">
      <c r="A164" s="12"/>
      <c r="B164" s="12"/>
      <c r="C164" s="12"/>
      <c r="D164" s="13"/>
      <c r="E164" s="12"/>
      <c r="F164" s="12"/>
      <c r="G164" s="14"/>
      <c r="H164" s="15"/>
      <c r="I164" s="15">
        <f t="shared" si="1"/>
        <v>0</v>
      </c>
      <c r="J164" s="13"/>
    </row>
    <row r="165" spans="1:10" ht="12.5" x14ac:dyDescent="0.25">
      <c r="A165" s="12"/>
      <c r="B165" s="12"/>
      <c r="C165" s="12"/>
      <c r="D165" s="13"/>
      <c r="E165" s="12"/>
      <c r="F165" s="12"/>
      <c r="G165" s="14"/>
      <c r="H165" s="15"/>
      <c r="I165" s="15">
        <f t="shared" si="1"/>
        <v>0</v>
      </c>
      <c r="J165" s="13"/>
    </row>
    <row r="166" spans="1:10" ht="12.5" x14ac:dyDescent="0.25">
      <c r="A166" s="12"/>
      <c r="B166" s="12"/>
      <c r="C166" s="12"/>
      <c r="D166" s="13"/>
      <c r="E166" s="12"/>
      <c r="F166" s="12"/>
      <c r="G166" s="14"/>
      <c r="H166" s="15"/>
      <c r="I166" s="15">
        <f t="shared" si="1"/>
        <v>0</v>
      </c>
      <c r="J166" s="13"/>
    </row>
    <row r="167" spans="1:10" ht="12.5" x14ac:dyDescent="0.25">
      <c r="A167" s="12"/>
      <c r="B167" s="12"/>
      <c r="C167" s="12"/>
      <c r="D167" s="13"/>
      <c r="E167" s="12"/>
      <c r="F167" s="12"/>
      <c r="G167" s="14"/>
      <c r="H167" s="15"/>
      <c r="I167" s="15">
        <f t="shared" si="1"/>
        <v>0</v>
      </c>
      <c r="J167" s="13"/>
    </row>
    <row r="168" spans="1:10" ht="12.5" x14ac:dyDescent="0.25">
      <c r="A168" s="12"/>
      <c r="B168" s="12"/>
      <c r="C168" s="12"/>
      <c r="D168" s="13"/>
      <c r="E168" s="12"/>
      <c r="F168" s="12"/>
      <c r="G168" s="14"/>
      <c r="H168" s="15"/>
      <c r="I168" s="15">
        <f t="shared" si="1"/>
        <v>0</v>
      </c>
      <c r="J168" s="13"/>
    </row>
    <row r="169" spans="1:10" ht="12.5" x14ac:dyDescent="0.25">
      <c r="A169" s="12"/>
      <c r="B169" s="12"/>
      <c r="C169" s="12"/>
      <c r="D169" s="13"/>
      <c r="E169" s="12"/>
      <c r="F169" s="12"/>
      <c r="G169" s="14"/>
      <c r="H169" s="15"/>
      <c r="I169" s="15">
        <f t="shared" si="1"/>
        <v>0</v>
      </c>
      <c r="J169" s="13"/>
    </row>
    <row r="170" spans="1:10" ht="12.5" x14ac:dyDescent="0.25">
      <c r="A170" s="12"/>
      <c r="B170" s="12"/>
      <c r="C170" s="12"/>
      <c r="D170" s="13"/>
      <c r="E170" s="12"/>
      <c r="F170" s="12"/>
      <c r="G170" s="14"/>
      <c r="H170" s="15"/>
      <c r="I170" s="15">
        <f t="shared" si="1"/>
        <v>0</v>
      </c>
      <c r="J170" s="13"/>
    </row>
    <row r="171" spans="1:10" ht="12.5" x14ac:dyDescent="0.25">
      <c r="A171" s="12"/>
      <c r="B171" s="12"/>
      <c r="C171" s="12"/>
      <c r="D171" s="13"/>
      <c r="E171" s="12"/>
      <c r="F171" s="12"/>
      <c r="G171" s="14"/>
      <c r="H171" s="15"/>
      <c r="I171" s="15">
        <f t="shared" si="1"/>
        <v>0</v>
      </c>
      <c r="J171" s="13"/>
    </row>
    <row r="172" spans="1:10" ht="12.5" x14ac:dyDescent="0.25">
      <c r="A172" s="12"/>
      <c r="B172" s="12"/>
      <c r="C172" s="12"/>
      <c r="D172" s="13"/>
      <c r="E172" s="12"/>
      <c r="F172" s="12"/>
      <c r="G172" s="14"/>
      <c r="H172" s="15"/>
      <c r="I172" s="15">
        <f t="shared" si="1"/>
        <v>0</v>
      </c>
      <c r="J172" s="13"/>
    </row>
    <row r="173" spans="1:10" ht="12.5" x14ac:dyDescent="0.25">
      <c r="A173" s="12"/>
      <c r="B173" s="12"/>
      <c r="C173" s="12"/>
      <c r="D173" s="13"/>
      <c r="E173" s="12"/>
      <c r="F173" s="12"/>
      <c r="G173" s="14"/>
      <c r="H173" s="15"/>
      <c r="I173" s="15">
        <f t="shared" si="1"/>
        <v>0</v>
      </c>
      <c r="J173" s="13"/>
    </row>
    <row r="174" spans="1:10" ht="12.5" x14ac:dyDescent="0.25">
      <c r="A174" s="12"/>
      <c r="B174" s="12"/>
      <c r="C174" s="12"/>
      <c r="D174" s="13"/>
      <c r="E174" s="12"/>
      <c r="F174" s="12"/>
      <c r="G174" s="14"/>
      <c r="H174" s="15"/>
      <c r="I174" s="15">
        <f t="shared" si="1"/>
        <v>0</v>
      </c>
      <c r="J174" s="13"/>
    </row>
    <row r="175" spans="1:10" ht="12.5" x14ac:dyDescent="0.25">
      <c r="A175" s="12"/>
      <c r="B175" s="12"/>
      <c r="C175" s="12"/>
      <c r="D175" s="13"/>
      <c r="E175" s="12"/>
      <c r="F175" s="12"/>
      <c r="G175" s="14"/>
      <c r="H175" s="15"/>
      <c r="I175" s="15">
        <f t="shared" si="1"/>
        <v>0</v>
      </c>
      <c r="J175" s="13"/>
    </row>
    <row r="176" spans="1:10" ht="12.5" x14ac:dyDescent="0.25">
      <c r="A176" s="12"/>
      <c r="B176" s="12"/>
      <c r="C176" s="12"/>
      <c r="D176" s="13"/>
      <c r="E176" s="12"/>
      <c r="F176" s="12"/>
      <c r="G176" s="14"/>
      <c r="H176" s="15"/>
      <c r="I176" s="15">
        <f t="shared" si="1"/>
        <v>0</v>
      </c>
      <c r="J176" s="13"/>
    </row>
    <row r="177" spans="1:10" ht="12.5" x14ac:dyDescent="0.25">
      <c r="A177" s="12"/>
      <c r="B177" s="12"/>
      <c r="C177" s="12"/>
      <c r="D177" s="13"/>
      <c r="E177" s="12"/>
      <c r="F177" s="12"/>
      <c r="G177" s="14"/>
      <c r="H177" s="15"/>
      <c r="I177" s="15">
        <f t="shared" si="1"/>
        <v>0</v>
      </c>
      <c r="J177" s="13"/>
    </row>
    <row r="178" spans="1:10" ht="12.5" x14ac:dyDescent="0.25">
      <c r="A178" s="12"/>
      <c r="B178" s="12"/>
      <c r="C178" s="12"/>
      <c r="D178" s="13"/>
      <c r="E178" s="12"/>
      <c r="F178" s="12"/>
      <c r="G178" s="14"/>
      <c r="H178" s="15"/>
      <c r="I178" s="15">
        <f t="shared" si="1"/>
        <v>0</v>
      </c>
      <c r="J178" s="13"/>
    </row>
    <row r="179" spans="1:10" ht="12.5" x14ac:dyDescent="0.25">
      <c r="A179" s="12"/>
      <c r="B179" s="12"/>
      <c r="C179" s="12"/>
      <c r="D179" s="13"/>
      <c r="E179" s="12"/>
      <c r="F179" s="12"/>
      <c r="G179" s="14"/>
      <c r="H179" s="15"/>
      <c r="I179" s="15">
        <f t="shared" si="1"/>
        <v>0</v>
      </c>
      <c r="J179" s="13"/>
    </row>
    <row r="180" spans="1:10" ht="12.5" x14ac:dyDescent="0.25">
      <c r="A180" s="12"/>
      <c r="B180" s="12"/>
      <c r="C180" s="12"/>
      <c r="D180" s="13"/>
      <c r="E180" s="12"/>
      <c r="F180" s="12"/>
      <c r="G180" s="14"/>
      <c r="H180" s="15"/>
      <c r="I180" s="15">
        <f t="shared" si="1"/>
        <v>0</v>
      </c>
      <c r="J180" s="13"/>
    </row>
    <row r="181" spans="1:10" ht="12.5" x14ac:dyDescent="0.25">
      <c r="A181" s="12"/>
      <c r="B181" s="12"/>
      <c r="C181" s="12"/>
      <c r="D181" s="13"/>
      <c r="E181" s="12"/>
      <c r="F181" s="12"/>
      <c r="G181" s="14"/>
      <c r="H181" s="15"/>
      <c r="I181" s="15">
        <f t="shared" si="1"/>
        <v>0</v>
      </c>
      <c r="J181" s="13"/>
    </row>
    <row r="182" spans="1:10" ht="12.5" x14ac:dyDescent="0.25">
      <c r="A182" s="12"/>
      <c r="B182" s="12"/>
      <c r="C182" s="12"/>
      <c r="D182" s="13"/>
      <c r="E182" s="12"/>
      <c r="F182" s="12"/>
      <c r="G182" s="14"/>
      <c r="H182" s="15"/>
      <c r="I182" s="15">
        <f t="shared" si="1"/>
        <v>0</v>
      </c>
      <c r="J182" s="13"/>
    </row>
    <row r="183" spans="1:10" ht="12.5" x14ac:dyDescent="0.25">
      <c r="A183" s="12"/>
      <c r="B183" s="12"/>
      <c r="C183" s="12"/>
      <c r="D183" s="13"/>
      <c r="E183" s="12"/>
      <c r="F183" s="12"/>
      <c r="G183" s="14"/>
      <c r="H183" s="15"/>
      <c r="I183" s="15">
        <f t="shared" si="1"/>
        <v>0</v>
      </c>
      <c r="J183" s="13"/>
    </row>
    <row r="184" spans="1:10" ht="12.5" x14ac:dyDescent="0.25">
      <c r="A184" s="12"/>
      <c r="B184" s="12"/>
      <c r="C184" s="12"/>
      <c r="D184" s="13"/>
      <c r="E184" s="12"/>
      <c r="F184" s="12"/>
      <c r="G184" s="14"/>
      <c r="H184" s="15"/>
      <c r="I184" s="15">
        <f t="shared" si="1"/>
        <v>0</v>
      </c>
      <c r="J184" s="13"/>
    </row>
    <row r="185" spans="1:10" ht="12.5" x14ac:dyDescent="0.25">
      <c r="A185" s="12"/>
      <c r="B185" s="12"/>
      <c r="C185" s="12"/>
      <c r="D185" s="13"/>
      <c r="E185" s="12"/>
      <c r="F185" s="12"/>
      <c r="G185" s="14"/>
      <c r="H185" s="15"/>
      <c r="I185" s="15">
        <f t="shared" si="1"/>
        <v>0</v>
      </c>
      <c r="J185" s="13"/>
    </row>
    <row r="186" spans="1:10" ht="12.5" x14ac:dyDescent="0.25">
      <c r="A186" s="12"/>
      <c r="B186" s="12"/>
      <c r="C186" s="12"/>
      <c r="D186" s="13"/>
      <c r="E186" s="12"/>
      <c r="F186" s="12"/>
      <c r="G186" s="14"/>
      <c r="H186" s="15"/>
      <c r="I186" s="15">
        <f t="shared" si="1"/>
        <v>0</v>
      </c>
      <c r="J186" s="13"/>
    </row>
    <row r="187" spans="1:10" ht="12.5" x14ac:dyDescent="0.25">
      <c r="A187" s="12"/>
      <c r="B187" s="12"/>
      <c r="C187" s="12"/>
      <c r="D187" s="13"/>
      <c r="E187" s="12"/>
      <c r="F187" s="12"/>
      <c r="G187" s="14"/>
      <c r="H187" s="15"/>
      <c r="I187" s="15">
        <f t="shared" si="1"/>
        <v>0</v>
      </c>
      <c r="J187" s="13"/>
    </row>
    <row r="188" spans="1:10" ht="12.5" x14ac:dyDescent="0.25">
      <c r="A188" s="12"/>
      <c r="B188" s="12"/>
      <c r="C188" s="12"/>
      <c r="D188" s="13"/>
      <c r="E188" s="12"/>
      <c r="F188" s="12"/>
      <c r="G188" s="14"/>
      <c r="H188" s="15"/>
      <c r="I188" s="15">
        <f t="shared" si="1"/>
        <v>0</v>
      </c>
      <c r="J188" s="13"/>
    </row>
    <row r="189" spans="1:10" ht="12.5" x14ac:dyDescent="0.25">
      <c r="A189" s="12"/>
      <c r="B189" s="12"/>
      <c r="C189" s="12"/>
      <c r="D189" s="13"/>
      <c r="E189" s="12"/>
      <c r="F189" s="12"/>
      <c r="G189" s="14"/>
      <c r="H189" s="15"/>
      <c r="I189" s="15">
        <f t="shared" si="1"/>
        <v>0</v>
      </c>
      <c r="J189" s="13"/>
    </row>
    <row r="190" spans="1:10" ht="12.5" x14ac:dyDescent="0.25">
      <c r="A190" s="12"/>
      <c r="B190" s="12"/>
      <c r="C190" s="12"/>
      <c r="D190" s="13"/>
      <c r="E190" s="12"/>
      <c r="F190" s="12"/>
      <c r="G190" s="14"/>
      <c r="H190" s="15"/>
      <c r="I190" s="15">
        <f t="shared" si="1"/>
        <v>0</v>
      </c>
      <c r="J190" s="13"/>
    </row>
    <row r="191" spans="1:10" ht="12.5" x14ac:dyDescent="0.25">
      <c r="A191" s="12"/>
      <c r="B191" s="12"/>
      <c r="C191" s="12"/>
      <c r="D191" s="13"/>
      <c r="E191" s="12"/>
      <c r="F191" s="12"/>
      <c r="G191" s="14"/>
      <c r="H191" s="15"/>
      <c r="I191" s="15">
        <f t="shared" si="1"/>
        <v>0</v>
      </c>
      <c r="J191" s="13"/>
    </row>
    <row r="192" spans="1:10" ht="12.5" x14ac:dyDescent="0.25">
      <c r="A192" s="12"/>
      <c r="B192" s="12"/>
      <c r="C192" s="12"/>
      <c r="D192" s="13"/>
      <c r="E192" s="12"/>
      <c r="F192" s="12"/>
      <c r="G192" s="14"/>
      <c r="H192" s="15"/>
      <c r="I192" s="15">
        <f t="shared" si="1"/>
        <v>0</v>
      </c>
      <c r="J192" s="13"/>
    </row>
    <row r="193" spans="1:10" ht="12.5" x14ac:dyDescent="0.25">
      <c r="A193" s="12"/>
      <c r="B193" s="12"/>
      <c r="C193" s="12"/>
      <c r="D193" s="13"/>
      <c r="E193" s="12"/>
      <c r="F193" s="12"/>
      <c r="G193" s="14"/>
      <c r="H193" s="15"/>
      <c r="I193" s="15">
        <f t="shared" si="1"/>
        <v>0</v>
      </c>
      <c r="J193" s="13"/>
    </row>
    <row r="194" spans="1:10" ht="12.5" x14ac:dyDescent="0.25">
      <c r="A194" s="12"/>
      <c r="B194" s="12"/>
      <c r="C194" s="12"/>
      <c r="D194" s="13"/>
      <c r="E194" s="12"/>
      <c r="F194" s="12"/>
      <c r="G194" s="14"/>
      <c r="H194" s="15"/>
      <c r="I194" s="15">
        <f t="shared" si="1"/>
        <v>0</v>
      </c>
      <c r="J194" s="13"/>
    </row>
    <row r="195" spans="1:10" ht="12.5" x14ac:dyDescent="0.25">
      <c r="J195" s="18"/>
    </row>
    <row r="196" spans="1:10" ht="12.5" x14ac:dyDescent="0.25">
      <c r="J196" s="18"/>
    </row>
    <row r="197" spans="1:10" ht="12.5" x14ac:dyDescent="0.25">
      <c r="J197" s="18"/>
    </row>
    <row r="198" spans="1:10" ht="12.5" x14ac:dyDescent="0.25">
      <c r="J198" s="18"/>
    </row>
    <row r="199" spans="1:10" ht="12.5" x14ac:dyDescent="0.25">
      <c r="J199" s="18"/>
    </row>
    <row r="200" spans="1:10" ht="12.5" x14ac:dyDescent="0.25">
      <c r="J200" s="18"/>
    </row>
    <row r="201" spans="1:10" ht="12.5" x14ac:dyDescent="0.25">
      <c r="J201" s="18"/>
    </row>
    <row r="202" spans="1:10" ht="12.5" x14ac:dyDescent="0.25">
      <c r="J202" s="18"/>
    </row>
    <row r="203" spans="1:10" ht="12.5" x14ac:dyDescent="0.25">
      <c r="J203" s="18"/>
    </row>
    <row r="204" spans="1:10" ht="12.5" x14ac:dyDescent="0.25">
      <c r="J204" s="18"/>
    </row>
    <row r="205" spans="1:10" ht="12.5" x14ac:dyDescent="0.25">
      <c r="J205" s="18"/>
    </row>
    <row r="206" spans="1:10" ht="12.5" x14ac:dyDescent="0.25">
      <c r="J206" s="18"/>
    </row>
    <row r="207" spans="1:10" ht="12.5" x14ac:dyDescent="0.25">
      <c r="J207" s="18"/>
    </row>
    <row r="208" spans="1:10" ht="12.5" x14ac:dyDescent="0.25">
      <c r="J208" s="18"/>
    </row>
    <row r="209" spans="10:10" ht="12.5" x14ac:dyDescent="0.25">
      <c r="J209" s="18"/>
    </row>
    <row r="210" spans="10:10" ht="12.5" x14ac:dyDescent="0.25">
      <c r="J210" s="18"/>
    </row>
    <row r="211" spans="10:10" ht="12.5" x14ac:dyDescent="0.25">
      <c r="J211" s="18"/>
    </row>
    <row r="212" spans="10:10" ht="12.5" x14ac:dyDescent="0.25">
      <c r="J212" s="18"/>
    </row>
    <row r="213" spans="10:10" ht="12.5" x14ac:dyDescent="0.25">
      <c r="J213" s="18"/>
    </row>
    <row r="214" spans="10:10" ht="12.5" x14ac:dyDescent="0.25">
      <c r="J214" s="18"/>
    </row>
    <row r="215" spans="10:10" ht="12.5" x14ac:dyDescent="0.25">
      <c r="J215" s="18"/>
    </row>
    <row r="216" spans="10:10" ht="12.5" x14ac:dyDescent="0.25">
      <c r="J216" s="18"/>
    </row>
    <row r="217" spans="10:10" ht="12.5" x14ac:dyDescent="0.25">
      <c r="J217" s="18"/>
    </row>
    <row r="218" spans="10:10" ht="12.5" x14ac:dyDescent="0.25">
      <c r="J218" s="18"/>
    </row>
    <row r="219" spans="10:10" ht="12.5" x14ac:dyDescent="0.25">
      <c r="J219" s="18"/>
    </row>
    <row r="220" spans="10:10" ht="12.5" x14ac:dyDescent="0.25">
      <c r="J220" s="18"/>
    </row>
    <row r="221" spans="10:10" ht="12.5" x14ac:dyDescent="0.25">
      <c r="J221" s="18"/>
    </row>
    <row r="222" spans="10:10" ht="12.5" x14ac:dyDescent="0.25">
      <c r="J222" s="18"/>
    </row>
    <row r="223" spans="10:10" ht="12.5" x14ac:dyDescent="0.25">
      <c r="J223" s="18"/>
    </row>
    <row r="224" spans="10:10" ht="12.5" x14ac:dyDescent="0.25">
      <c r="J224" s="18"/>
    </row>
    <row r="225" spans="10:10" ht="12.5" x14ac:dyDescent="0.25">
      <c r="J225" s="18"/>
    </row>
    <row r="226" spans="10:10" ht="12.5" x14ac:dyDescent="0.25">
      <c r="J226" s="18"/>
    </row>
    <row r="227" spans="10:10" ht="12.5" x14ac:dyDescent="0.25">
      <c r="J227" s="18"/>
    </row>
    <row r="228" spans="10:10" ht="12.5" x14ac:dyDescent="0.25">
      <c r="J228" s="18"/>
    </row>
    <row r="229" spans="10:10" ht="12.5" x14ac:dyDescent="0.25">
      <c r="J229" s="18"/>
    </row>
    <row r="230" spans="10:10" ht="12.5" x14ac:dyDescent="0.25">
      <c r="J230" s="18"/>
    </row>
    <row r="231" spans="10:10" ht="12.5" x14ac:dyDescent="0.25">
      <c r="J231" s="18"/>
    </row>
    <row r="232" spans="10:10" ht="12.5" x14ac:dyDescent="0.25">
      <c r="J232" s="18"/>
    </row>
    <row r="233" spans="10:10" ht="12.5" x14ac:dyDescent="0.25">
      <c r="J233" s="18"/>
    </row>
    <row r="234" spans="10:10" ht="12.5" x14ac:dyDescent="0.25">
      <c r="J234" s="18"/>
    </row>
    <row r="235" spans="10:10" ht="12.5" x14ac:dyDescent="0.25">
      <c r="J235" s="18"/>
    </row>
    <row r="236" spans="10:10" ht="12.5" x14ac:dyDescent="0.25">
      <c r="J236" s="18"/>
    </row>
    <row r="237" spans="10:10" ht="12.5" x14ac:dyDescent="0.25">
      <c r="J237" s="18"/>
    </row>
    <row r="238" spans="10:10" ht="12.5" x14ac:dyDescent="0.25">
      <c r="J238" s="18"/>
    </row>
    <row r="239" spans="10:10" ht="12.5" x14ac:dyDescent="0.25">
      <c r="J239" s="18"/>
    </row>
    <row r="240" spans="10:10" ht="12.5" x14ac:dyDescent="0.25">
      <c r="J240" s="18"/>
    </row>
    <row r="241" spans="10:10" ht="12.5" x14ac:dyDescent="0.25">
      <c r="J241" s="18"/>
    </row>
    <row r="242" spans="10:10" ht="12.5" x14ac:dyDescent="0.25">
      <c r="J242" s="18"/>
    </row>
    <row r="243" spans="10:10" ht="12.5" x14ac:dyDescent="0.25">
      <c r="J243" s="18"/>
    </row>
    <row r="244" spans="10:10" ht="12.5" x14ac:dyDescent="0.25">
      <c r="J244" s="18"/>
    </row>
    <row r="245" spans="10:10" ht="12.5" x14ac:dyDescent="0.25">
      <c r="J245" s="18"/>
    </row>
    <row r="246" spans="10:10" ht="12.5" x14ac:dyDescent="0.25">
      <c r="J246" s="18"/>
    </row>
    <row r="247" spans="10:10" ht="12.5" x14ac:dyDescent="0.25">
      <c r="J247" s="18"/>
    </row>
    <row r="248" spans="10:10" ht="12.5" x14ac:dyDescent="0.25">
      <c r="J248" s="18"/>
    </row>
    <row r="249" spans="10:10" ht="12.5" x14ac:dyDescent="0.25">
      <c r="J249" s="18"/>
    </row>
    <row r="250" spans="10:10" ht="12.5" x14ac:dyDescent="0.25">
      <c r="J250" s="18"/>
    </row>
    <row r="251" spans="10:10" ht="12.5" x14ac:dyDescent="0.25">
      <c r="J251" s="18"/>
    </row>
    <row r="252" spans="10:10" ht="12.5" x14ac:dyDescent="0.25">
      <c r="J252" s="18"/>
    </row>
    <row r="253" spans="10:10" ht="12.5" x14ac:dyDescent="0.25">
      <c r="J253" s="18"/>
    </row>
    <row r="254" spans="10:10" ht="12.5" x14ac:dyDescent="0.25">
      <c r="J254" s="18"/>
    </row>
    <row r="255" spans="10:10" ht="12.5" x14ac:dyDescent="0.25">
      <c r="J255" s="18"/>
    </row>
    <row r="256" spans="10:10" ht="12.5" x14ac:dyDescent="0.25">
      <c r="J256" s="18"/>
    </row>
    <row r="257" spans="10:10" ht="12.5" x14ac:dyDescent="0.25">
      <c r="J257" s="18"/>
    </row>
    <row r="258" spans="10:10" ht="12.5" x14ac:dyDescent="0.25">
      <c r="J258" s="18"/>
    </row>
    <row r="259" spans="10:10" ht="12.5" x14ac:dyDescent="0.25">
      <c r="J259" s="18"/>
    </row>
    <row r="260" spans="10:10" ht="12.5" x14ac:dyDescent="0.25">
      <c r="J260" s="18"/>
    </row>
    <row r="261" spans="10:10" ht="12.5" x14ac:dyDescent="0.25">
      <c r="J261" s="18"/>
    </row>
    <row r="262" spans="10:10" ht="12.5" x14ac:dyDescent="0.25">
      <c r="J262" s="18"/>
    </row>
    <row r="263" spans="10:10" ht="12.5" x14ac:dyDescent="0.25">
      <c r="J263" s="18"/>
    </row>
    <row r="264" spans="10:10" ht="12.5" x14ac:dyDescent="0.25">
      <c r="J264" s="18"/>
    </row>
    <row r="265" spans="10:10" ht="12.5" x14ac:dyDescent="0.25">
      <c r="J265" s="18"/>
    </row>
    <row r="266" spans="10:10" ht="12.5" x14ac:dyDescent="0.25">
      <c r="J266" s="18"/>
    </row>
    <row r="267" spans="10:10" ht="12.5" x14ac:dyDescent="0.25">
      <c r="J267" s="18"/>
    </row>
    <row r="268" spans="10:10" ht="12.5" x14ac:dyDescent="0.25">
      <c r="J268" s="18"/>
    </row>
    <row r="269" spans="10:10" ht="12.5" x14ac:dyDescent="0.25">
      <c r="J269" s="18"/>
    </row>
    <row r="270" spans="10:10" ht="12.5" x14ac:dyDescent="0.25">
      <c r="J270" s="18"/>
    </row>
    <row r="271" spans="10:10" ht="12.5" x14ac:dyDescent="0.25">
      <c r="J271" s="18"/>
    </row>
    <row r="272" spans="10:10" ht="12.5" x14ac:dyDescent="0.25">
      <c r="J272" s="18"/>
    </row>
    <row r="273" spans="10:10" ht="12.5" x14ac:dyDescent="0.25">
      <c r="J273" s="18"/>
    </row>
    <row r="274" spans="10:10" ht="12.5" x14ac:dyDescent="0.25">
      <c r="J274" s="18"/>
    </row>
    <row r="275" spans="10:10" ht="12.5" x14ac:dyDescent="0.25">
      <c r="J275" s="18"/>
    </row>
    <row r="276" spans="10:10" ht="12.5" x14ac:dyDescent="0.25">
      <c r="J276" s="18"/>
    </row>
    <row r="277" spans="10:10" ht="12.5" x14ac:dyDescent="0.25">
      <c r="J277" s="18"/>
    </row>
    <row r="278" spans="10:10" ht="12.5" x14ac:dyDescent="0.25">
      <c r="J278" s="18"/>
    </row>
    <row r="279" spans="10:10" ht="12.5" x14ac:dyDescent="0.25">
      <c r="J279" s="18"/>
    </row>
    <row r="280" spans="10:10" ht="12.5" x14ac:dyDescent="0.25">
      <c r="J280" s="18"/>
    </row>
    <row r="281" spans="10:10" ht="12.5" x14ac:dyDescent="0.25">
      <c r="J281" s="18"/>
    </row>
    <row r="282" spans="10:10" ht="12.5" x14ac:dyDescent="0.25">
      <c r="J282" s="18"/>
    </row>
    <row r="283" spans="10:10" ht="12.5" x14ac:dyDescent="0.25">
      <c r="J283" s="18"/>
    </row>
    <row r="284" spans="10:10" ht="12.5" x14ac:dyDescent="0.25">
      <c r="J284" s="18"/>
    </row>
    <row r="285" spans="10:10" ht="12.5" x14ac:dyDescent="0.25">
      <c r="J285" s="18"/>
    </row>
    <row r="286" spans="10:10" ht="12.5" x14ac:dyDescent="0.25">
      <c r="J286" s="18"/>
    </row>
    <row r="287" spans="10:10" ht="12.5" x14ac:dyDescent="0.25">
      <c r="J287" s="18"/>
    </row>
    <row r="288" spans="10:10" ht="12.5" x14ac:dyDescent="0.25">
      <c r="J288" s="18"/>
    </row>
    <row r="289" spans="10:10" ht="12.5" x14ac:dyDescent="0.25">
      <c r="J289" s="18"/>
    </row>
    <row r="290" spans="10:10" ht="12.5" x14ac:dyDescent="0.25">
      <c r="J290" s="18"/>
    </row>
    <row r="291" spans="10:10" ht="12.5" x14ac:dyDescent="0.25">
      <c r="J291" s="18"/>
    </row>
    <row r="292" spans="10:10" ht="12.5" x14ac:dyDescent="0.25">
      <c r="J292" s="18"/>
    </row>
    <row r="293" spans="10:10" ht="12.5" x14ac:dyDescent="0.25">
      <c r="J293" s="18"/>
    </row>
    <row r="294" spans="10:10" ht="12.5" x14ac:dyDescent="0.25">
      <c r="J294" s="18"/>
    </row>
    <row r="295" spans="10:10" ht="12.5" x14ac:dyDescent="0.25">
      <c r="J295" s="18"/>
    </row>
    <row r="296" spans="10:10" ht="12.5" x14ac:dyDescent="0.25">
      <c r="J296" s="18"/>
    </row>
    <row r="297" spans="10:10" ht="12.5" x14ac:dyDescent="0.25">
      <c r="J297" s="18"/>
    </row>
    <row r="298" spans="10:10" ht="12.5" x14ac:dyDescent="0.25">
      <c r="J298" s="18"/>
    </row>
    <row r="299" spans="10:10" ht="12.5" x14ac:dyDescent="0.25">
      <c r="J299" s="18"/>
    </row>
    <row r="300" spans="10:10" ht="12.5" x14ac:dyDescent="0.25">
      <c r="J300" s="18"/>
    </row>
    <row r="301" spans="10:10" ht="12.5" x14ac:dyDescent="0.25">
      <c r="J301" s="18"/>
    </row>
    <row r="302" spans="10:10" ht="12.5" x14ac:dyDescent="0.25">
      <c r="J302" s="18"/>
    </row>
    <row r="303" spans="10:10" ht="12.5" x14ac:dyDescent="0.25">
      <c r="J303" s="18"/>
    </row>
    <row r="304" spans="10:10" ht="12.5" x14ac:dyDescent="0.25">
      <c r="J304" s="18"/>
    </row>
    <row r="305" spans="10:10" ht="12.5" x14ac:dyDescent="0.25">
      <c r="J305" s="18"/>
    </row>
    <row r="306" spans="10:10" ht="12.5" x14ac:dyDescent="0.25">
      <c r="J306" s="18"/>
    </row>
    <row r="307" spans="10:10" ht="12.5" x14ac:dyDescent="0.25">
      <c r="J307" s="18"/>
    </row>
    <row r="308" spans="10:10" ht="12.5" x14ac:dyDescent="0.25">
      <c r="J308" s="18"/>
    </row>
    <row r="309" spans="10:10" ht="12.5" x14ac:dyDescent="0.25">
      <c r="J309" s="18"/>
    </row>
    <row r="310" spans="10:10" ht="12.5" x14ac:dyDescent="0.25">
      <c r="J310" s="18"/>
    </row>
    <row r="311" spans="10:10" ht="12.5" x14ac:dyDescent="0.25">
      <c r="J311" s="18"/>
    </row>
    <row r="312" spans="10:10" ht="12.5" x14ac:dyDescent="0.25">
      <c r="J312" s="18"/>
    </row>
    <row r="313" spans="10:10" ht="12.5" x14ac:dyDescent="0.25">
      <c r="J313" s="18"/>
    </row>
    <row r="314" spans="10:10" ht="12.5" x14ac:dyDescent="0.25">
      <c r="J314" s="18"/>
    </row>
    <row r="315" spans="10:10" ht="12.5" x14ac:dyDescent="0.25">
      <c r="J315" s="18"/>
    </row>
    <row r="316" spans="10:10" ht="12.5" x14ac:dyDescent="0.25">
      <c r="J316" s="18"/>
    </row>
    <row r="317" spans="10:10" ht="12.5" x14ac:dyDescent="0.25">
      <c r="J317" s="18"/>
    </row>
    <row r="318" spans="10:10" ht="12.5" x14ac:dyDescent="0.25">
      <c r="J318" s="18"/>
    </row>
    <row r="319" spans="10:10" ht="12.5" x14ac:dyDescent="0.25">
      <c r="J319" s="18"/>
    </row>
    <row r="320" spans="10:10" ht="12.5" x14ac:dyDescent="0.25">
      <c r="J320" s="18"/>
    </row>
    <row r="321" spans="10:10" ht="12.5" x14ac:dyDescent="0.25">
      <c r="J321" s="18"/>
    </row>
    <row r="322" spans="10:10" ht="12.5" x14ac:dyDescent="0.25">
      <c r="J322" s="18"/>
    </row>
    <row r="323" spans="10:10" ht="12.5" x14ac:dyDescent="0.25">
      <c r="J323" s="18"/>
    </row>
    <row r="324" spans="10:10" ht="12.5" x14ac:dyDescent="0.25">
      <c r="J324" s="18"/>
    </row>
    <row r="325" spans="10:10" ht="12.5" x14ac:dyDescent="0.25">
      <c r="J325" s="18"/>
    </row>
    <row r="326" spans="10:10" ht="12.5" x14ac:dyDescent="0.25">
      <c r="J326" s="18"/>
    </row>
    <row r="327" spans="10:10" ht="12.5" x14ac:dyDescent="0.25">
      <c r="J327" s="18"/>
    </row>
    <row r="328" spans="10:10" ht="12.5" x14ac:dyDescent="0.25">
      <c r="J328" s="18"/>
    </row>
    <row r="329" spans="10:10" ht="12.5" x14ac:dyDescent="0.25">
      <c r="J329" s="18"/>
    </row>
    <row r="330" spans="10:10" ht="12.5" x14ac:dyDescent="0.25">
      <c r="J330" s="18"/>
    </row>
    <row r="331" spans="10:10" ht="12.5" x14ac:dyDescent="0.25">
      <c r="J331" s="18"/>
    </row>
    <row r="332" spans="10:10" ht="12.5" x14ac:dyDescent="0.25">
      <c r="J332" s="18"/>
    </row>
    <row r="333" spans="10:10" ht="12.5" x14ac:dyDescent="0.25">
      <c r="J333" s="18"/>
    </row>
    <row r="334" spans="10:10" ht="12.5" x14ac:dyDescent="0.25">
      <c r="J334" s="18"/>
    </row>
    <row r="335" spans="10:10" ht="12.5" x14ac:dyDescent="0.25">
      <c r="J335" s="18"/>
    </row>
    <row r="336" spans="10:10" ht="12.5" x14ac:dyDescent="0.25">
      <c r="J336" s="18"/>
    </row>
    <row r="337" spans="10:10" ht="12.5" x14ac:dyDescent="0.25">
      <c r="J337" s="18"/>
    </row>
    <row r="338" spans="10:10" ht="12.5" x14ac:dyDescent="0.25">
      <c r="J338" s="18"/>
    </row>
    <row r="339" spans="10:10" ht="12.5" x14ac:dyDescent="0.25">
      <c r="J339" s="18"/>
    </row>
    <row r="340" spans="10:10" ht="12.5" x14ac:dyDescent="0.25">
      <c r="J340" s="18"/>
    </row>
    <row r="341" spans="10:10" ht="12.5" x14ac:dyDescent="0.25">
      <c r="J341" s="18"/>
    </row>
    <row r="342" spans="10:10" ht="12.5" x14ac:dyDescent="0.25">
      <c r="J342" s="18"/>
    </row>
    <row r="343" spans="10:10" ht="12.5" x14ac:dyDescent="0.25">
      <c r="J343" s="18"/>
    </row>
    <row r="344" spans="10:10" ht="12.5" x14ac:dyDescent="0.25">
      <c r="J344" s="18"/>
    </row>
    <row r="345" spans="10:10" ht="12.5" x14ac:dyDescent="0.25">
      <c r="J345" s="18"/>
    </row>
    <row r="346" spans="10:10" ht="12.5" x14ac:dyDescent="0.25">
      <c r="J346" s="18"/>
    </row>
    <row r="347" spans="10:10" ht="12.5" x14ac:dyDescent="0.25">
      <c r="J347" s="18"/>
    </row>
    <row r="348" spans="10:10" ht="12.5" x14ac:dyDescent="0.25">
      <c r="J348" s="18"/>
    </row>
    <row r="349" spans="10:10" ht="12.5" x14ac:dyDescent="0.25">
      <c r="J349" s="18"/>
    </row>
    <row r="350" spans="10:10" ht="12.5" x14ac:dyDescent="0.25">
      <c r="J350" s="18"/>
    </row>
    <row r="351" spans="10:10" ht="12.5" x14ac:dyDescent="0.25">
      <c r="J351" s="18"/>
    </row>
    <row r="352" spans="10:10" ht="12.5" x14ac:dyDescent="0.25">
      <c r="J352" s="18"/>
    </row>
    <row r="353" spans="10:10" ht="12.5" x14ac:dyDescent="0.25">
      <c r="J353" s="18"/>
    </row>
    <row r="354" spans="10:10" ht="12.5" x14ac:dyDescent="0.25">
      <c r="J354" s="18"/>
    </row>
    <row r="355" spans="10:10" ht="12.5" x14ac:dyDescent="0.25">
      <c r="J355" s="18"/>
    </row>
    <row r="356" spans="10:10" ht="12.5" x14ac:dyDescent="0.25">
      <c r="J356" s="18"/>
    </row>
    <row r="357" spans="10:10" ht="12.5" x14ac:dyDescent="0.25">
      <c r="J357" s="18"/>
    </row>
    <row r="358" spans="10:10" ht="12.5" x14ac:dyDescent="0.25">
      <c r="J358" s="18"/>
    </row>
    <row r="359" spans="10:10" ht="12.5" x14ac:dyDescent="0.25">
      <c r="J359" s="18"/>
    </row>
    <row r="360" spans="10:10" ht="12.5" x14ac:dyDescent="0.25">
      <c r="J360" s="18"/>
    </row>
    <row r="361" spans="10:10" ht="12.5" x14ac:dyDescent="0.25">
      <c r="J361" s="18"/>
    </row>
    <row r="362" spans="10:10" ht="12.5" x14ac:dyDescent="0.25">
      <c r="J362" s="18"/>
    </row>
    <row r="363" spans="10:10" ht="12.5" x14ac:dyDescent="0.25">
      <c r="J363" s="18"/>
    </row>
    <row r="364" spans="10:10" ht="12.5" x14ac:dyDescent="0.25">
      <c r="J364" s="18"/>
    </row>
    <row r="365" spans="10:10" ht="12.5" x14ac:dyDescent="0.25">
      <c r="J365" s="18"/>
    </row>
    <row r="366" spans="10:10" ht="12.5" x14ac:dyDescent="0.25">
      <c r="J366" s="18"/>
    </row>
    <row r="367" spans="10:10" ht="12.5" x14ac:dyDescent="0.25">
      <c r="J367" s="18"/>
    </row>
    <row r="368" spans="10:10" ht="12.5" x14ac:dyDescent="0.25">
      <c r="J368" s="18"/>
    </row>
    <row r="369" spans="10:10" ht="12.5" x14ac:dyDescent="0.25">
      <c r="J369" s="18"/>
    </row>
    <row r="370" spans="10:10" ht="12.5" x14ac:dyDescent="0.25">
      <c r="J370" s="18"/>
    </row>
    <row r="371" spans="10:10" ht="12.5" x14ac:dyDescent="0.25">
      <c r="J371" s="18"/>
    </row>
    <row r="372" spans="10:10" ht="12.5" x14ac:dyDescent="0.25">
      <c r="J372" s="18"/>
    </row>
    <row r="373" spans="10:10" ht="12.5" x14ac:dyDescent="0.25">
      <c r="J373" s="18"/>
    </row>
    <row r="374" spans="10:10" ht="12.5" x14ac:dyDescent="0.25">
      <c r="J374" s="18"/>
    </row>
    <row r="375" spans="10:10" ht="12.5" x14ac:dyDescent="0.25">
      <c r="J375" s="18"/>
    </row>
    <row r="376" spans="10:10" ht="12.5" x14ac:dyDescent="0.25">
      <c r="J376" s="18"/>
    </row>
    <row r="377" spans="10:10" ht="12.5" x14ac:dyDescent="0.25">
      <c r="J377" s="18"/>
    </row>
    <row r="378" spans="10:10" ht="12.5" x14ac:dyDescent="0.25">
      <c r="J378" s="18"/>
    </row>
    <row r="379" spans="10:10" ht="12.5" x14ac:dyDescent="0.25">
      <c r="J379" s="18"/>
    </row>
    <row r="380" spans="10:10" ht="12.5" x14ac:dyDescent="0.25">
      <c r="J380" s="18"/>
    </row>
    <row r="381" spans="10:10" ht="12.5" x14ac:dyDescent="0.25">
      <c r="J381" s="18"/>
    </row>
    <row r="382" spans="10:10" ht="12.5" x14ac:dyDescent="0.25">
      <c r="J382" s="18"/>
    </row>
    <row r="383" spans="10:10" ht="12.5" x14ac:dyDescent="0.25">
      <c r="J383" s="18"/>
    </row>
    <row r="384" spans="10:10" ht="12.5" x14ac:dyDescent="0.25">
      <c r="J384" s="18"/>
    </row>
    <row r="385" spans="10:10" ht="12.5" x14ac:dyDescent="0.25">
      <c r="J385" s="18"/>
    </row>
    <row r="386" spans="10:10" ht="12.5" x14ac:dyDescent="0.25">
      <c r="J386" s="18"/>
    </row>
    <row r="387" spans="10:10" ht="12.5" x14ac:dyDescent="0.25">
      <c r="J387" s="18"/>
    </row>
    <row r="388" spans="10:10" ht="12.5" x14ac:dyDescent="0.25">
      <c r="J388" s="18"/>
    </row>
    <row r="389" spans="10:10" ht="12.5" x14ac:dyDescent="0.25">
      <c r="J389" s="18"/>
    </row>
    <row r="390" spans="10:10" ht="12.5" x14ac:dyDescent="0.25">
      <c r="J390" s="18"/>
    </row>
    <row r="391" spans="10:10" ht="12.5" x14ac:dyDescent="0.25">
      <c r="J391" s="18"/>
    </row>
    <row r="392" spans="10:10" ht="12.5" x14ac:dyDescent="0.25">
      <c r="J392" s="18"/>
    </row>
    <row r="393" spans="10:10" ht="12.5" x14ac:dyDescent="0.25">
      <c r="J393" s="18"/>
    </row>
    <row r="394" spans="10:10" ht="12.5" x14ac:dyDescent="0.25">
      <c r="J394" s="18"/>
    </row>
    <row r="395" spans="10:10" ht="12.5" x14ac:dyDescent="0.25">
      <c r="J395" s="18"/>
    </row>
    <row r="396" spans="10:10" ht="12.5" x14ac:dyDescent="0.25">
      <c r="J396" s="18"/>
    </row>
    <row r="397" spans="10:10" ht="12.5" x14ac:dyDescent="0.25">
      <c r="J397" s="18"/>
    </row>
    <row r="398" spans="10:10" ht="12.5" x14ac:dyDescent="0.25">
      <c r="J398" s="18"/>
    </row>
    <row r="399" spans="10:10" ht="12.5" x14ac:dyDescent="0.25">
      <c r="J399" s="18"/>
    </row>
    <row r="400" spans="10:10" ht="12.5" x14ac:dyDescent="0.25">
      <c r="J400" s="18"/>
    </row>
    <row r="401" spans="10:10" ht="12.5" x14ac:dyDescent="0.25">
      <c r="J401" s="18"/>
    </row>
    <row r="402" spans="10:10" ht="12.5" x14ac:dyDescent="0.25">
      <c r="J402" s="18"/>
    </row>
    <row r="403" spans="10:10" ht="12.5" x14ac:dyDescent="0.25">
      <c r="J403" s="18"/>
    </row>
    <row r="404" spans="10:10" ht="12.5" x14ac:dyDescent="0.25">
      <c r="J404" s="18"/>
    </row>
    <row r="405" spans="10:10" ht="12.5" x14ac:dyDescent="0.25">
      <c r="J405" s="18"/>
    </row>
    <row r="406" spans="10:10" ht="12.5" x14ac:dyDescent="0.25">
      <c r="J406" s="18"/>
    </row>
    <row r="407" spans="10:10" ht="12.5" x14ac:dyDescent="0.25">
      <c r="J407" s="18"/>
    </row>
    <row r="408" spans="10:10" ht="12.5" x14ac:dyDescent="0.25">
      <c r="J408" s="18"/>
    </row>
    <row r="409" spans="10:10" ht="12.5" x14ac:dyDescent="0.25">
      <c r="J409" s="18"/>
    </row>
    <row r="410" spans="10:10" ht="12.5" x14ac:dyDescent="0.25">
      <c r="J410" s="18"/>
    </row>
    <row r="411" spans="10:10" ht="12.5" x14ac:dyDescent="0.25">
      <c r="J411" s="18"/>
    </row>
    <row r="412" spans="10:10" ht="12.5" x14ac:dyDescent="0.25">
      <c r="J412" s="18"/>
    </row>
    <row r="413" spans="10:10" ht="12.5" x14ac:dyDescent="0.25">
      <c r="J413" s="18"/>
    </row>
    <row r="414" spans="10:10" ht="12.5" x14ac:dyDescent="0.25">
      <c r="J414" s="18"/>
    </row>
    <row r="415" spans="10:10" ht="12.5" x14ac:dyDescent="0.25">
      <c r="J415" s="18"/>
    </row>
    <row r="416" spans="10:10" ht="12.5" x14ac:dyDescent="0.25">
      <c r="J416" s="18"/>
    </row>
    <row r="417" spans="10:10" ht="12.5" x14ac:dyDescent="0.25">
      <c r="J417" s="18"/>
    </row>
    <row r="418" spans="10:10" ht="12.5" x14ac:dyDescent="0.25">
      <c r="J418" s="18"/>
    </row>
    <row r="419" spans="10:10" ht="12.5" x14ac:dyDescent="0.25">
      <c r="J419" s="18"/>
    </row>
    <row r="420" spans="10:10" ht="12.5" x14ac:dyDescent="0.25">
      <c r="J420" s="18"/>
    </row>
    <row r="421" spans="10:10" ht="12.5" x14ac:dyDescent="0.25">
      <c r="J421" s="18"/>
    </row>
    <row r="422" spans="10:10" ht="12.5" x14ac:dyDescent="0.25">
      <c r="J422" s="18"/>
    </row>
    <row r="423" spans="10:10" ht="12.5" x14ac:dyDescent="0.25">
      <c r="J423" s="18"/>
    </row>
    <row r="424" spans="10:10" ht="12.5" x14ac:dyDescent="0.25">
      <c r="J424" s="18"/>
    </row>
    <row r="425" spans="10:10" ht="12.5" x14ac:dyDescent="0.25">
      <c r="J425" s="18"/>
    </row>
    <row r="426" spans="10:10" ht="12.5" x14ac:dyDescent="0.25">
      <c r="J426" s="18"/>
    </row>
    <row r="427" spans="10:10" ht="12.5" x14ac:dyDescent="0.25">
      <c r="J427" s="18"/>
    </row>
    <row r="428" spans="10:10" ht="12.5" x14ac:dyDescent="0.25">
      <c r="J428" s="18"/>
    </row>
    <row r="429" spans="10:10" ht="12.5" x14ac:dyDescent="0.25">
      <c r="J429" s="18"/>
    </row>
    <row r="430" spans="10:10" ht="12.5" x14ac:dyDescent="0.25">
      <c r="J430" s="18"/>
    </row>
    <row r="431" spans="10:10" ht="12.5" x14ac:dyDescent="0.25">
      <c r="J431" s="18"/>
    </row>
    <row r="432" spans="10:10" ht="12.5" x14ac:dyDescent="0.25">
      <c r="J432" s="18"/>
    </row>
    <row r="433" spans="10:10" ht="12.5" x14ac:dyDescent="0.25">
      <c r="J433" s="18"/>
    </row>
    <row r="434" spans="10:10" ht="12.5" x14ac:dyDescent="0.25">
      <c r="J434" s="18"/>
    </row>
    <row r="435" spans="10:10" ht="12.5" x14ac:dyDescent="0.25">
      <c r="J435" s="18"/>
    </row>
    <row r="436" spans="10:10" ht="12.5" x14ac:dyDescent="0.25">
      <c r="J436" s="18"/>
    </row>
    <row r="437" spans="10:10" ht="12.5" x14ac:dyDescent="0.25">
      <c r="J437" s="18"/>
    </row>
    <row r="438" spans="10:10" ht="12.5" x14ac:dyDescent="0.25">
      <c r="J438" s="18"/>
    </row>
    <row r="439" spans="10:10" ht="12.5" x14ac:dyDescent="0.25">
      <c r="J439" s="18"/>
    </row>
    <row r="440" spans="10:10" ht="12.5" x14ac:dyDescent="0.25">
      <c r="J440" s="18"/>
    </row>
    <row r="441" spans="10:10" ht="12.5" x14ac:dyDescent="0.25">
      <c r="J441" s="18"/>
    </row>
    <row r="442" spans="10:10" ht="12.5" x14ac:dyDescent="0.25">
      <c r="J442" s="18"/>
    </row>
    <row r="443" spans="10:10" ht="12.5" x14ac:dyDescent="0.25">
      <c r="J443" s="18"/>
    </row>
    <row r="444" spans="10:10" ht="12.5" x14ac:dyDescent="0.25">
      <c r="J444" s="18"/>
    </row>
    <row r="445" spans="10:10" ht="12.5" x14ac:dyDescent="0.25">
      <c r="J445" s="18"/>
    </row>
    <row r="446" spans="10:10" ht="12.5" x14ac:dyDescent="0.25">
      <c r="J446" s="18"/>
    </row>
    <row r="447" spans="10:10" ht="12.5" x14ac:dyDescent="0.25">
      <c r="J447" s="18"/>
    </row>
    <row r="448" spans="10:10" ht="12.5" x14ac:dyDescent="0.25">
      <c r="J448" s="18"/>
    </row>
    <row r="449" spans="10:10" ht="12.5" x14ac:dyDescent="0.25">
      <c r="J449" s="18"/>
    </row>
    <row r="450" spans="10:10" ht="12.5" x14ac:dyDescent="0.25">
      <c r="J450" s="18"/>
    </row>
    <row r="451" spans="10:10" ht="12.5" x14ac:dyDescent="0.25">
      <c r="J451" s="18"/>
    </row>
    <row r="452" spans="10:10" ht="12.5" x14ac:dyDescent="0.25">
      <c r="J452" s="18"/>
    </row>
    <row r="453" spans="10:10" ht="12.5" x14ac:dyDescent="0.25">
      <c r="J453" s="18"/>
    </row>
    <row r="454" spans="10:10" ht="12.5" x14ac:dyDescent="0.25">
      <c r="J454" s="18"/>
    </row>
    <row r="455" spans="10:10" ht="12.5" x14ac:dyDescent="0.25">
      <c r="J455" s="18"/>
    </row>
    <row r="456" spans="10:10" ht="12.5" x14ac:dyDescent="0.25">
      <c r="J456" s="18"/>
    </row>
    <row r="457" spans="10:10" ht="12.5" x14ac:dyDescent="0.25">
      <c r="J457" s="18"/>
    </row>
    <row r="458" spans="10:10" ht="12.5" x14ac:dyDescent="0.25">
      <c r="J458" s="18"/>
    </row>
    <row r="459" spans="10:10" ht="12.5" x14ac:dyDescent="0.25">
      <c r="J459" s="18"/>
    </row>
    <row r="460" spans="10:10" ht="12.5" x14ac:dyDescent="0.25">
      <c r="J460" s="18"/>
    </row>
    <row r="461" spans="10:10" ht="12.5" x14ac:dyDescent="0.25">
      <c r="J461" s="18"/>
    </row>
    <row r="462" spans="10:10" ht="12.5" x14ac:dyDescent="0.25">
      <c r="J462" s="18"/>
    </row>
    <row r="463" spans="10:10" ht="12.5" x14ac:dyDescent="0.25">
      <c r="J463" s="18"/>
    </row>
    <row r="464" spans="10:10" ht="12.5" x14ac:dyDescent="0.25">
      <c r="J464" s="18"/>
    </row>
    <row r="465" spans="10:10" ht="12.5" x14ac:dyDescent="0.25">
      <c r="J465" s="18"/>
    </row>
    <row r="466" spans="10:10" ht="12.5" x14ac:dyDescent="0.25">
      <c r="J466" s="18"/>
    </row>
    <row r="467" spans="10:10" ht="12.5" x14ac:dyDescent="0.25">
      <c r="J467" s="18"/>
    </row>
    <row r="468" spans="10:10" ht="12.5" x14ac:dyDescent="0.25">
      <c r="J468" s="18"/>
    </row>
    <row r="469" spans="10:10" ht="12.5" x14ac:dyDescent="0.25">
      <c r="J469" s="18"/>
    </row>
    <row r="470" spans="10:10" ht="12.5" x14ac:dyDescent="0.25">
      <c r="J470" s="18"/>
    </row>
    <row r="471" spans="10:10" ht="12.5" x14ac:dyDescent="0.25">
      <c r="J471" s="18"/>
    </row>
    <row r="472" spans="10:10" ht="12.5" x14ac:dyDescent="0.25">
      <c r="J472" s="18"/>
    </row>
    <row r="473" spans="10:10" ht="12.5" x14ac:dyDescent="0.25">
      <c r="J473" s="18"/>
    </row>
    <row r="474" spans="10:10" ht="12.5" x14ac:dyDescent="0.25">
      <c r="J474" s="18"/>
    </row>
    <row r="475" spans="10:10" ht="12.5" x14ac:dyDescent="0.25">
      <c r="J475" s="18"/>
    </row>
    <row r="476" spans="10:10" ht="12.5" x14ac:dyDescent="0.25">
      <c r="J476" s="18"/>
    </row>
    <row r="477" spans="10:10" ht="12.5" x14ac:dyDescent="0.25">
      <c r="J477" s="18"/>
    </row>
    <row r="478" spans="10:10" ht="12.5" x14ac:dyDescent="0.25">
      <c r="J478" s="18"/>
    </row>
    <row r="479" spans="10:10" ht="12.5" x14ac:dyDescent="0.25">
      <c r="J479" s="18"/>
    </row>
    <row r="480" spans="10:10" ht="12.5" x14ac:dyDescent="0.25">
      <c r="J480" s="18"/>
    </row>
    <row r="481" spans="10:10" ht="12.5" x14ac:dyDescent="0.25">
      <c r="J481" s="18"/>
    </row>
    <row r="482" spans="10:10" ht="12.5" x14ac:dyDescent="0.25">
      <c r="J482" s="18"/>
    </row>
    <row r="483" spans="10:10" ht="12.5" x14ac:dyDescent="0.25">
      <c r="J483" s="18"/>
    </row>
    <row r="484" spans="10:10" ht="12.5" x14ac:dyDescent="0.25">
      <c r="J484" s="18"/>
    </row>
    <row r="485" spans="10:10" ht="12.5" x14ac:dyDescent="0.25">
      <c r="J485" s="18"/>
    </row>
    <row r="486" spans="10:10" ht="12.5" x14ac:dyDescent="0.25">
      <c r="J486" s="18"/>
    </row>
    <row r="487" spans="10:10" ht="12.5" x14ac:dyDescent="0.25">
      <c r="J487" s="18"/>
    </row>
    <row r="488" spans="10:10" ht="12.5" x14ac:dyDescent="0.25">
      <c r="J488" s="18"/>
    </row>
    <row r="489" spans="10:10" ht="12.5" x14ac:dyDescent="0.25">
      <c r="J489" s="18"/>
    </row>
    <row r="490" spans="10:10" ht="12.5" x14ac:dyDescent="0.25">
      <c r="J490" s="18"/>
    </row>
    <row r="491" spans="10:10" ht="12.5" x14ac:dyDescent="0.25">
      <c r="J491" s="18"/>
    </row>
    <row r="492" spans="10:10" ht="12.5" x14ac:dyDescent="0.25">
      <c r="J492" s="18"/>
    </row>
    <row r="493" spans="10:10" ht="12.5" x14ac:dyDescent="0.25">
      <c r="J493" s="18"/>
    </row>
    <row r="494" spans="10:10" ht="12.5" x14ac:dyDescent="0.25">
      <c r="J494" s="18"/>
    </row>
    <row r="495" spans="10:10" ht="12.5" x14ac:dyDescent="0.25">
      <c r="J495" s="18"/>
    </row>
    <row r="496" spans="10:10" ht="12.5" x14ac:dyDescent="0.25">
      <c r="J496" s="18"/>
    </row>
    <row r="497" spans="10:10" ht="12.5" x14ac:dyDescent="0.25">
      <c r="J497" s="18"/>
    </row>
    <row r="498" spans="10:10" ht="12.5" x14ac:dyDescent="0.25">
      <c r="J498" s="18"/>
    </row>
    <row r="499" spans="10:10" ht="12.5" x14ac:dyDescent="0.25">
      <c r="J499" s="18"/>
    </row>
    <row r="500" spans="10:10" ht="12.5" x14ac:dyDescent="0.25">
      <c r="J500" s="18"/>
    </row>
    <row r="501" spans="10:10" ht="12.5" x14ac:dyDescent="0.25">
      <c r="J501" s="18"/>
    </row>
    <row r="502" spans="10:10" ht="12.5" x14ac:dyDescent="0.25">
      <c r="J502" s="18"/>
    </row>
    <row r="503" spans="10:10" ht="12.5" x14ac:dyDescent="0.25">
      <c r="J503" s="18"/>
    </row>
    <row r="504" spans="10:10" ht="12.5" x14ac:dyDescent="0.25">
      <c r="J504" s="18"/>
    </row>
    <row r="505" spans="10:10" ht="12.5" x14ac:dyDescent="0.25">
      <c r="J505" s="18"/>
    </row>
    <row r="506" spans="10:10" ht="12.5" x14ac:dyDescent="0.25">
      <c r="J506" s="18"/>
    </row>
    <row r="507" spans="10:10" ht="12.5" x14ac:dyDescent="0.25">
      <c r="J507" s="18"/>
    </row>
    <row r="508" spans="10:10" ht="12.5" x14ac:dyDescent="0.25">
      <c r="J508" s="18"/>
    </row>
    <row r="509" spans="10:10" ht="12.5" x14ac:dyDescent="0.25">
      <c r="J509" s="18"/>
    </row>
    <row r="510" spans="10:10" ht="12.5" x14ac:dyDescent="0.25">
      <c r="J510" s="18"/>
    </row>
    <row r="511" spans="10:10" ht="12.5" x14ac:dyDescent="0.25">
      <c r="J511" s="18"/>
    </row>
    <row r="512" spans="10:10" ht="12.5" x14ac:dyDescent="0.25">
      <c r="J512" s="18"/>
    </row>
    <row r="513" spans="10:10" ht="12.5" x14ac:dyDescent="0.25">
      <c r="J513" s="18"/>
    </row>
    <row r="514" spans="10:10" ht="12.5" x14ac:dyDescent="0.25">
      <c r="J514" s="18"/>
    </row>
    <row r="515" spans="10:10" ht="12.5" x14ac:dyDescent="0.25">
      <c r="J515" s="18"/>
    </row>
    <row r="516" spans="10:10" ht="12.5" x14ac:dyDescent="0.25">
      <c r="J516" s="18"/>
    </row>
    <row r="517" spans="10:10" ht="12.5" x14ac:dyDescent="0.25">
      <c r="J517" s="18"/>
    </row>
    <row r="518" spans="10:10" ht="12.5" x14ac:dyDescent="0.25">
      <c r="J518" s="18"/>
    </row>
    <row r="519" spans="10:10" ht="12.5" x14ac:dyDescent="0.25">
      <c r="J519" s="18"/>
    </row>
    <row r="520" spans="10:10" ht="12.5" x14ac:dyDescent="0.25">
      <c r="J520" s="18"/>
    </row>
    <row r="521" spans="10:10" ht="12.5" x14ac:dyDescent="0.25">
      <c r="J521" s="18"/>
    </row>
    <row r="522" spans="10:10" ht="12.5" x14ac:dyDescent="0.25">
      <c r="J522" s="18"/>
    </row>
    <row r="523" spans="10:10" ht="12.5" x14ac:dyDescent="0.25">
      <c r="J523" s="18"/>
    </row>
    <row r="524" spans="10:10" ht="12.5" x14ac:dyDescent="0.25">
      <c r="J524" s="18"/>
    </row>
    <row r="525" spans="10:10" ht="12.5" x14ac:dyDescent="0.25">
      <c r="J525" s="18"/>
    </row>
    <row r="526" spans="10:10" ht="12.5" x14ac:dyDescent="0.25">
      <c r="J526" s="18"/>
    </row>
    <row r="527" spans="10:10" ht="12.5" x14ac:dyDescent="0.25">
      <c r="J527" s="18"/>
    </row>
    <row r="528" spans="10:10" ht="12.5" x14ac:dyDescent="0.25">
      <c r="J528" s="18"/>
    </row>
    <row r="529" spans="10:10" ht="12.5" x14ac:dyDescent="0.25">
      <c r="J529" s="18"/>
    </row>
    <row r="530" spans="10:10" ht="12.5" x14ac:dyDescent="0.25">
      <c r="J530" s="18"/>
    </row>
    <row r="531" spans="10:10" ht="12.5" x14ac:dyDescent="0.25">
      <c r="J531" s="18"/>
    </row>
    <row r="532" spans="10:10" ht="12.5" x14ac:dyDescent="0.25">
      <c r="J532" s="18"/>
    </row>
    <row r="533" spans="10:10" ht="12.5" x14ac:dyDescent="0.25">
      <c r="J533" s="18"/>
    </row>
    <row r="534" spans="10:10" ht="12.5" x14ac:dyDescent="0.25">
      <c r="J534" s="18"/>
    </row>
    <row r="535" spans="10:10" ht="12.5" x14ac:dyDescent="0.25">
      <c r="J535" s="18"/>
    </row>
    <row r="536" spans="10:10" ht="12.5" x14ac:dyDescent="0.25">
      <c r="J536" s="18"/>
    </row>
    <row r="537" spans="10:10" ht="12.5" x14ac:dyDescent="0.25">
      <c r="J537" s="18"/>
    </row>
    <row r="538" spans="10:10" ht="12.5" x14ac:dyDescent="0.25">
      <c r="J538" s="18"/>
    </row>
    <row r="539" spans="10:10" ht="12.5" x14ac:dyDescent="0.25">
      <c r="J539" s="18"/>
    </row>
    <row r="540" spans="10:10" ht="12.5" x14ac:dyDescent="0.25">
      <c r="J540" s="18"/>
    </row>
    <row r="541" spans="10:10" ht="12.5" x14ac:dyDescent="0.25">
      <c r="J541" s="18"/>
    </row>
    <row r="542" spans="10:10" ht="12.5" x14ac:dyDescent="0.25">
      <c r="J542" s="18"/>
    </row>
    <row r="543" spans="10:10" ht="12.5" x14ac:dyDescent="0.25">
      <c r="J543" s="18"/>
    </row>
    <row r="544" spans="10:10" ht="12.5" x14ac:dyDescent="0.25">
      <c r="J544" s="18"/>
    </row>
    <row r="545" spans="10:10" ht="12.5" x14ac:dyDescent="0.25">
      <c r="J545" s="18"/>
    </row>
    <row r="546" spans="10:10" ht="12.5" x14ac:dyDescent="0.25">
      <c r="J546" s="18"/>
    </row>
    <row r="547" spans="10:10" ht="12.5" x14ac:dyDescent="0.25">
      <c r="J547" s="18"/>
    </row>
    <row r="548" spans="10:10" ht="12.5" x14ac:dyDescent="0.25">
      <c r="J548" s="18"/>
    </row>
    <row r="549" spans="10:10" ht="12.5" x14ac:dyDescent="0.25">
      <c r="J549" s="18"/>
    </row>
    <row r="550" spans="10:10" ht="12.5" x14ac:dyDescent="0.25">
      <c r="J550" s="18"/>
    </row>
    <row r="551" spans="10:10" ht="12.5" x14ac:dyDescent="0.25">
      <c r="J551" s="18"/>
    </row>
    <row r="552" spans="10:10" ht="12.5" x14ac:dyDescent="0.25">
      <c r="J552" s="18"/>
    </row>
    <row r="553" spans="10:10" ht="12.5" x14ac:dyDescent="0.25">
      <c r="J553" s="18"/>
    </row>
    <row r="554" spans="10:10" ht="12.5" x14ac:dyDescent="0.25">
      <c r="J554" s="18"/>
    </row>
    <row r="555" spans="10:10" ht="12.5" x14ac:dyDescent="0.25">
      <c r="J555" s="18"/>
    </row>
    <row r="556" spans="10:10" ht="12.5" x14ac:dyDescent="0.25">
      <c r="J556" s="18"/>
    </row>
    <row r="557" spans="10:10" ht="12.5" x14ac:dyDescent="0.25">
      <c r="J557" s="18"/>
    </row>
    <row r="558" spans="10:10" ht="12.5" x14ac:dyDescent="0.25">
      <c r="J558" s="18"/>
    </row>
    <row r="559" spans="10:10" ht="12.5" x14ac:dyDescent="0.25">
      <c r="J559" s="18"/>
    </row>
    <row r="560" spans="10:10" ht="12.5" x14ac:dyDescent="0.25">
      <c r="J560" s="18"/>
    </row>
    <row r="561" spans="10:10" ht="12.5" x14ac:dyDescent="0.25">
      <c r="J561" s="18"/>
    </row>
    <row r="562" spans="10:10" ht="12.5" x14ac:dyDescent="0.25">
      <c r="J562" s="18"/>
    </row>
    <row r="563" spans="10:10" ht="12.5" x14ac:dyDescent="0.25">
      <c r="J563" s="18"/>
    </row>
    <row r="564" spans="10:10" ht="12.5" x14ac:dyDescent="0.25">
      <c r="J564" s="18"/>
    </row>
    <row r="565" spans="10:10" ht="12.5" x14ac:dyDescent="0.25">
      <c r="J565" s="18"/>
    </row>
    <row r="566" spans="10:10" ht="12.5" x14ac:dyDescent="0.25">
      <c r="J566" s="18"/>
    </row>
    <row r="567" spans="10:10" ht="12.5" x14ac:dyDescent="0.25">
      <c r="J567" s="18"/>
    </row>
    <row r="568" spans="10:10" ht="12.5" x14ac:dyDescent="0.25">
      <c r="J568" s="18"/>
    </row>
    <row r="569" spans="10:10" ht="12.5" x14ac:dyDescent="0.25">
      <c r="J569" s="18"/>
    </row>
    <row r="570" spans="10:10" ht="12.5" x14ac:dyDescent="0.25">
      <c r="J570" s="18"/>
    </row>
    <row r="571" spans="10:10" ht="12.5" x14ac:dyDescent="0.25">
      <c r="J571" s="18"/>
    </row>
    <row r="572" spans="10:10" ht="12.5" x14ac:dyDescent="0.25">
      <c r="J572" s="18"/>
    </row>
    <row r="573" spans="10:10" ht="12.5" x14ac:dyDescent="0.25">
      <c r="J573" s="18"/>
    </row>
    <row r="574" spans="10:10" ht="12.5" x14ac:dyDescent="0.25">
      <c r="J574" s="18"/>
    </row>
    <row r="575" spans="10:10" ht="12.5" x14ac:dyDescent="0.25">
      <c r="J575" s="18"/>
    </row>
    <row r="576" spans="10:10" ht="12.5" x14ac:dyDescent="0.25">
      <c r="J576" s="18"/>
    </row>
    <row r="577" spans="10:10" ht="12.5" x14ac:dyDescent="0.25">
      <c r="J577" s="18"/>
    </row>
    <row r="578" spans="10:10" ht="12.5" x14ac:dyDescent="0.25">
      <c r="J578" s="18"/>
    </row>
    <row r="579" spans="10:10" ht="12.5" x14ac:dyDescent="0.25">
      <c r="J579" s="18"/>
    </row>
    <row r="580" spans="10:10" ht="12.5" x14ac:dyDescent="0.25">
      <c r="J580" s="18"/>
    </row>
    <row r="581" spans="10:10" ht="12.5" x14ac:dyDescent="0.25">
      <c r="J581" s="18"/>
    </row>
    <row r="582" spans="10:10" ht="12.5" x14ac:dyDescent="0.25">
      <c r="J582" s="18"/>
    </row>
    <row r="583" spans="10:10" ht="12.5" x14ac:dyDescent="0.25">
      <c r="J583" s="18"/>
    </row>
    <row r="584" spans="10:10" ht="12.5" x14ac:dyDescent="0.25">
      <c r="J584" s="18"/>
    </row>
    <row r="585" spans="10:10" ht="12.5" x14ac:dyDescent="0.25">
      <c r="J585" s="18"/>
    </row>
    <row r="586" spans="10:10" ht="12.5" x14ac:dyDescent="0.25">
      <c r="J586" s="18"/>
    </row>
    <row r="587" spans="10:10" ht="12.5" x14ac:dyDescent="0.25">
      <c r="J587" s="18"/>
    </row>
    <row r="588" spans="10:10" ht="12.5" x14ac:dyDescent="0.25">
      <c r="J588" s="18"/>
    </row>
    <row r="589" spans="10:10" ht="12.5" x14ac:dyDescent="0.25">
      <c r="J589" s="18"/>
    </row>
    <row r="590" spans="10:10" ht="12.5" x14ac:dyDescent="0.25">
      <c r="J590" s="18"/>
    </row>
    <row r="591" spans="10:10" ht="12.5" x14ac:dyDescent="0.25">
      <c r="J591" s="18"/>
    </row>
    <row r="592" spans="10:10" ht="12.5" x14ac:dyDescent="0.25">
      <c r="J592" s="18"/>
    </row>
    <row r="593" spans="10:10" ht="12.5" x14ac:dyDescent="0.25">
      <c r="J593" s="18"/>
    </row>
    <row r="594" spans="10:10" ht="12.5" x14ac:dyDescent="0.25">
      <c r="J594" s="18"/>
    </row>
    <row r="595" spans="10:10" ht="12.5" x14ac:dyDescent="0.25">
      <c r="J595" s="18"/>
    </row>
    <row r="596" spans="10:10" ht="12.5" x14ac:dyDescent="0.25">
      <c r="J596" s="18"/>
    </row>
    <row r="597" spans="10:10" ht="12.5" x14ac:dyDescent="0.25">
      <c r="J597" s="18"/>
    </row>
    <row r="598" spans="10:10" ht="12.5" x14ac:dyDescent="0.25">
      <c r="J598" s="18"/>
    </row>
    <row r="599" spans="10:10" ht="12.5" x14ac:dyDescent="0.25">
      <c r="J599" s="18"/>
    </row>
    <row r="600" spans="10:10" ht="12.5" x14ac:dyDescent="0.25">
      <c r="J600" s="18"/>
    </row>
    <row r="601" spans="10:10" ht="12.5" x14ac:dyDescent="0.25">
      <c r="J601" s="18"/>
    </row>
    <row r="602" spans="10:10" ht="12.5" x14ac:dyDescent="0.25">
      <c r="J602" s="18"/>
    </row>
    <row r="603" spans="10:10" ht="12.5" x14ac:dyDescent="0.25">
      <c r="J603" s="18"/>
    </row>
    <row r="604" spans="10:10" ht="12.5" x14ac:dyDescent="0.25">
      <c r="J604" s="18"/>
    </row>
    <row r="605" spans="10:10" ht="12.5" x14ac:dyDescent="0.25">
      <c r="J605" s="18"/>
    </row>
    <row r="606" spans="10:10" ht="12.5" x14ac:dyDescent="0.25">
      <c r="J606" s="18"/>
    </row>
    <row r="607" spans="10:10" ht="12.5" x14ac:dyDescent="0.25">
      <c r="J607" s="18"/>
    </row>
    <row r="608" spans="10:10" ht="12.5" x14ac:dyDescent="0.25">
      <c r="J608" s="18"/>
    </row>
    <row r="609" spans="10:10" ht="12.5" x14ac:dyDescent="0.25">
      <c r="J609" s="18"/>
    </row>
    <row r="610" spans="10:10" ht="12.5" x14ac:dyDescent="0.25">
      <c r="J610" s="18"/>
    </row>
    <row r="611" spans="10:10" ht="12.5" x14ac:dyDescent="0.25">
      <c r="J611" s="18"/>
    </row>
    <row r="612" spans="10:10" ht="12.5" x14ac:dyDescent="0.25">
      <c r="J612" s="18"/>
    </row>
    <row r="613" spans="10:10" ht="12.5" x14ac:dyDescent="0.25">
      <c r="J613" s="18"/>
    </row>
    <row r="614" spans="10:10" ht="12.5" x14ac:dyDescent="0.25">
      <c r="J614" s="18"/>
    </row>
    <row r="615" spans="10:10" ht="12.5" x14ac:dyDescent="0.25">
      <c r="J615" s="18"/>
    </row>
    <row r="616" spans="10:10" ht="12.5" x14ac:dyDescent="0.25">
      <c r="J616" s="18"/>
    </row>
    <row r="617" spans="10:10" ht="12.5" x14ac:dyDescent="0.25">
      <c r="J617" s="18"/>
    </row>
    <row r="618" spans="10:10" ht="12.5" x14ac:dyDescent="0.25">
      <c r="J618" s="18"/>
    </row>
    <row r="619" spans="10:10" ht="12.5" x14ac:dyDescent="0.25">
      <c r="J619" s="18"/>
    </row>
    <row r="620" spans="10:10" ht="12.5" x14ac:dyDescent="0.25">
      <c r="J620" s="18"/>
    </row>
    <row r="621" spans="10:10" ht="12.5" x14ac:dyDescent="0.25">
      <c r="J621" s="18"/>
    </row>
    <row r="622" spans="10:10" ht="12.5" x14ac:dyDescent="0.25">
      <c r="J622" s="18"/>
    </row>
    <row r="623" spans="10:10" ht="12.5" x14ac:dyDescent="0.25">
      <c r="J623" s="18"/>
    </row>
    <row r="624" spans="10:10" ht="12.5" x14ac:dyDescent="0.25">
      <c r="J624" s="18"/>
    </row>
    <row r="625" spans="10:10" ht="12.5" x14ac:dyDescent="0.25">
      <c r="J625" s="18"/>
    </row>
    <row r="626" spans="10:10" ht="12.5" x14ac:dyDescent="0.25">
      <c r="J626" s="18"/>
    </row>
    <row r="627" spans="10:10" ht="12.5" x14ac:dyDescent="0.25">
      <c r="J627" s="18"/>
    </row>
    <row r="628" spans="10:10" ht="12.5" x14ac:dyDescent="0.25">
      <c r="J628" s="18"/>
    </row>
    <row r="629" spans="10:10" ht="12.5" x14ac:dyDescent="0.25">
      <c r="J629" s="18"/>
    </row>
    <row r="630" spans="10:10" ht="12.5" x14ac:dyDescent="0.25">
      <c r="J630" s="18"/>
    </row>
    <row r="631" spans="10:10" ht="12.5" x14ac:dyDescent="0.25">
      <c r="J631" s="18"/>
    </row>
    <row r="632" spans="10:10" ht="12.5" x14ac:dyDescent="0.25">
      <c r="J632" s="18"/>
    </row>
    <row r="633" spans="10:10" ht="12.5" x14ac:dyDescent="0.25">
      <c r="J633" s="18"/>
    </row>
    <row r="634" spans="10:10" ht="12.5" x14ac:dyDescent="0.25">
      <c r="J634" s="18"/>
    </row>
    <row r="635" spans="10:10" ht="12.5" x14ac:dyDescent="0.25">
      <c r="J635" s="18"/>
    </row>
    <row r="636" spans="10:10" ht="12.5" x14ac:dyDescent="0.25">
      <c r="J636" s="18"/>
    </row>
    <row r="637" spans="10:10" ht="12.5" x14ac:dyDescent="0.25">
      <c r="J637" s="18"/>
    </row>
    <row r="638" spans="10:10" ht="12.5" x14ac:dyDescent="0.25">
      <c r="J638" s="18"/>
    </row>
    <row r="639" spans="10:10" ht="12.5" x14ac:dyDescent="0.25">
      <c r="J639" s="18"/>
    </row>
    <row r="640" spans="10:10" ht="12.5" x14ac:dyDescent="0.25">
      <c r="J640" s="18"/>
    </row>
    <row r="641" spans="10:10" ht="12.5" x14ac:dyDescent="0.25">
      <c r="J641" s="18"/>
    </row>
    <row r="642" spans="10:10" ht="12.5" x14ac:dyDescent="0.25">
      <c r="J642" s="18"/>
    </row>
    <row r="643" spans="10:10" ht="12.5" x14ac:dyDescent="0.25">
      <c r="J643" s="18"/>
    </row>
    <row r="644" spans="10:10" ht="12.5" x14ac:dyDescent="0.25">
      <c r="J644" s="18"/>
    </row>
    <row r="645" spans="10:10" ht="12.5" x14ac:dyDescent="0.25">
      <c r="J645" s="18"/>
    </row>
    <row r="646" spans="10:10" ht="12.5" x14ac:dyDescent="0.25">
      <c r="J646" s="18"/>
    </row>
    <row r="647" spans="10:10" ht="12.5" x14ac:dyDescent="0.25">
      <c r="J647" s="18"/>
    </row>
    <row r="648" spans="10:10" ht="12.5" x14ac:dyDescent="0.25">
      <c r="J648" s="18"/>
    </row>
    <row r="649" spans="10:10" ht="12.5" x14ac:dyDescent="0.25">
      <c r="J649" s="18"/>
    </row>
    <row r="650" spans="10:10" ht="12.5" x14ac:dyDescent="0.25">
      <c r="J650" s="18"/>
    </row>
    <row r="651" spans="10:10" ht="12.5" x14ac:dyDescent="0.25">
      <c r="J651" s="18"/>
    </row>
    <row r="652" spans="10:10" ht="12.5" x14ac:dyDescent="0.25">
      <c r="J652" s="18"/>
    </row>
    <row r="653" spans="10:10" ht="12.5" x14ac:dyDescent="0.25">
      <c r="J653" s="18"/>
    </row>
    <row r="654" spans="10:10" ht="12.5" x14ac:dyDescent="0.25">
      <c r="J654" s="18"/>
    </row>
    <row r="655" spans="10:10" ht="12.5" x14ac:dyDescent="0.25">
      <c r="J655" s="18"/>
    </row>
    <row r="656" spans="10:10" ht="12.5" x14ac:dyDescent="0.25">
      <c r="J656" s="18"/>
    </row>
    <row r="657" spans="10:10" ht="12.5" x14ac:dyDescent="0.25">
      <c r="J657" s="18"/>
    </row>
    <row r="658" spans="10:10" ht="12.5" x14ac:dyDescent="0.25">
      <c r="J658" s="18"/>
    </row>
    <row r="659" spans="10:10" ht="12.5" x14ac:dyDescent="0.25">
      <c r="J659" s="18"/>
    </row>
    <row r="660" spans="10:10" ht="12.5" x14ac:dyDescent="0.25">
      <c r="J660" s="18"/>
    </row>
    <row r="661" spans="10:10" ht="12.5" x14ac:dyDescent="0.25">
      <c r="J661" s="18"/>
    </row>
    <row r="662" spans="10:10" ht="12.5" x14ac:dyDescent="0.25">
      <c r="J662" s="18"/>
    </row>
    <row r="663" spans="10:10" ht="12.5" x14ac:dyDescent="0.25">
      <c r="J663" s="18"/>
    </row>
    <row r="664" spans="10:10" ht="12.5" x14ac:dyDescent="0.25">
      <c r="J664" s="18"/>
    </row>
    <row r="665" spans="10:10" ht="12.5" x14ac:dyDescent="0.25">
      <c r="J665" s="18"/>
    </row>
    <row r="666" spans="10:10" ht="12.5" x14ac:dyDescent="0.25">
      <c r="J666" s="18"/>
    </row>
    <row r="667" spans="10:10" ht="12.5" x14ac:dyDescent="0.25">
      <c r="J667" s="18"/>
    </row>
    <row r="668" spans="10:10" ht="12.5" x14ac:dyDescent="0.25">
      <c r="J668" s="18"/>
    </row>
    <row r="669" spans="10:10" ht="12.5" x14ac:dyDescent="0.25">
      <c r="J669" s="18"/>
    </row>
    <row r="670" spans="10:10" ht="12.5" x14ac:dyDescent="0.25">
      <c r="J670" s="18"/>
    </row>
    <row r="671" spans="10:10" ht="12.5" x14ac:dyDescent="0.25">
      <c r="J671" s="18"/>
    </row>
    <row r="672" spans="10:10" ht="12.5" x14ac:dyDescent="0.25">
      <c r="J672" s="18"/>
    </row>
    <row r="673" spans="10:10" ht="12.5" x14ac:dyDescent="0.25">
      <c r="J673" s="18"/>
    </row>
    <row r="674" spans="10:10" ht="12.5" x14ac:dyDescent="0.25">
      <c r="J674" s="18"/>
    </row>
    <row r="675" spans="10:10" ht="12.5" x14ac:dyDescent="0.25">
      <c r="J675" s="18"/>
    </row>
    <row r="676" spans="10:10" ht="12.5" x14ac:dyDescent="0.25">
      <c r="J676" s="18"/>
    </row>
    <row r="677" spans="10:10" ht="12.5" x14ac:dyDescent="0.25">
      <c r="J677" s="18"/>
    </row>
    <row r="678" spans="10:10" ht="12.5" x14ac:dyDescent="0.25">
      <c r="J678" s="18"/>
    </row>
    <row r="679" spans="10:10" ht="12.5" x14ac:dyDescent="0.25">
      <c r="J679" s="18"/>
    </row>
    <row r="680" spans="10:10" ht="12.5" x14ac:dyDescent="0.25">
      <c r="J680" s="18"/>
    </row>
    <row r="681" spans="10:10" ht="12.5" x14ac:dyDescent="0.25">
      <c r="J681" s="18"/>
    </row>
    <row r="682" spans="10:10" ht="12.5" x14ac:dyDescent="0.25">
      <c r="J682" s="18"/>
    </row>
    <row r="683" spans="10:10" ht="12.5" x14ac:dyDescent="0.25">
      <c r="J683" s="18"/>
    </row>
    <row r="684" spans="10:10" ht="12.5" x14ac:dyDescent="0.25">
      <c r="J684" s="18"/>
    </row>
    <row r="685" spans="10:10" ht="12.5" x14ac:dyDescent="0.25">
      <c r="J685" s="18"/>
    </row>
    <row r="686" spans="10:10" ht="12.5" x14ac:dyDescent="0.25">
      <c r="J686" s="18"/>
    </row>
    <row r="687" spans="10:10" ht="12.5" x14ac:dyDescent="0.25">
      <c r="J687" s="18"/>
    </row>
    <row r="688" spans="10:10" ht="12.5" x14ac:dyDescent="0.25">
      <c r="J688" s="18"/>
    </row>
    <row r="689" spans="10:10" ht="12.5" x14ac:dyDescent="0.25">
      <c r="J689" s="18"/>
    </row>
    <row r="690" spans="10:10" ht="12.5" x14ac:dyDescent="0.25">
      <c r="J690" s="18"/>
    </row>
    <row r="691" spans="10:10" ht="12.5" x14ac:dyDescent="0.25">
      <c r="J691" s="18"/>
    </row>
    <row r="692" spans="10:10" ht="12.5" x14ac:dyDescent="0.25">
      <c r="J692" s="18"/>
    </row>
    <row r="693" spans="10:10" ht="12.5" x14ac:dyDescent="0.25">
      <c r="J693" s="18"/>
    </row>
    <row r="694" spans="10:10" ht="12.5" x14ac:dyDescent="0.25">
      <c r="J694" s="18"/>
    </row>
    <row r="695" spans="10:10" ht="12.5" x14ac:dyDescent="0.25">
      <c r="J695" s="18"/>
    </row>
    <row r="696" spans="10:10" ht="12.5" x14ac:dyDescent="0.25">
      <c r="J696" s="18"/>
    </row>
    <row r="697" spans="10:10" ht="12.5" x14ac:dyDescent="0.25">
      <c r="J697" s="18"/>
    </row>
    <row r="698" spans="10:10" ht="12.5" x14ac:dyDescent="0.25">
      <c r="J698" s="18"/>
    </row>
    <row r="699" spans="10:10" ht="12.5" x14ac:dyDescent="0.25">
      <c r="J699" s="18"/>
    </row>
    <row r="700" spans="10:10" ht="12.5" x14ac:dyDescent="0.25">
      <c r="J700" s="18"/>
    </row>
    <row r="701" spans="10:10" ht="12.5" x14ac:dyDescent="0.25">
      <c r="J701" s="18"/>
    </row>
    <row r="702" spans="10:10" ht="12.5" x14ac:dyDescent="0.25">
      <c r="J702" s="18"/>
    </row>
    <row r="703" spans="10:10" ht="12.5" x14ac:dyDescent="0.25">
      <c r="J703" s="18"/>
    </row>
    <row r="704" spans="10:10" ht="12.5" x14ac:dyDescent="0.25">
      <c r="J704" s="18"/>
    </row>
    <row r="705" spans="10:10" ht="12.5" x14ac:dyDescent="0.25">
      <c r="J705" s="18"/>
    </row>
    <row r="706" spans="10:10" ht="12.5" x14ac:dyDescent="0.25">
      <c r="J706" s="18"/>
    </row>
    <row r="707" spans="10:10" ht="12.5" x14ac:dyDescent="0.25">
      <c r="J707" s="18"/>
    </row>
    <row r="708" spans="10:10" ht="12.5" x14ac:dyDescent="0.25">
      <c r="J708" s="18"/>
    </row>
    <row r="709" spans="10:10" ht="12.5" x14ac:dyDescent="0.25">
      <c r="J709" s="18"/>
    </row>
    <row r="710" spans="10:10" ht="12.5" x14ac:dyDescent="0.25">
      <c r="J710" s="18"/>
    </row>
    <row r="711" spans="10:10" ht="12.5" x14ac:dyDescent="0.25">
      <c r="J711" s="18"/>
    </row>
    <row r="712" spans="10:10" ht="12.5" x14ac:dyDescent="0.25">
      <c r="J712" s="18"/>
    </row>
    <row r="713" spans="10:10" ht="12.5" x14ac:dyDescent="0.25">
      <c r="J713" s="18"/>
    </row>
    <row r="714" spans="10:10" ht="12.5" x14ac:dyDescent="0.25">
      <c r="J714" s="18"/>
    </row>
    <row r="715" spans="10:10" ht="12.5" x14ac:dyDescent="0.25">
      <c r="J715" s="18"/>
    </row>
    <row r="716" spans="10:10" ht="12.5" x14ac:dyDescent="0.25">
      <c r="J716" s="18"/>
    </row>
    <row r="717" spans="10:10" ht="12.5" x14ac:dyDescent="0.25">
      <c r="J717" s="18"/>
    </row>
    <row r="718" spans="10:10" ht="12.5" x14ac:dyDescent="0.25">
      <c r="J718" s="18"/>
    </row>
    <row r="719" spans="10:10" ht="12.5" x14ac:dyDescent="0.25">
      <c r="J719" s="18"/>
    </row>
    <row r="720" spans="10:10" ht="12.5" x14ac:dyDescent="0.25">
      <c r="J720" s="18"/>
    </row>
    <row r="721" spans="10:10" ht="12.5" x14ac:dyDescent="0.25">
      <c r="J721" s="18"/>
    </row>
    <row r="722" spans="10:10" ht="12.5" x14ac:dyDescent="0.25">
      <c r="J722" s="18"/>
    </row>
    <row r="723" spans="10:10" ht="12.5" x14ac:dyDescent="0.25">
      <c r="J723" s="18"/>
    </row>
    <row r="724" spans="10:10" ht="12.5" x14ac:dyDescent="0.25">
      <c r="J724" s="18"/>
    </row>
    <row r="725" spans="10:10" ht="12.5" x14ac:dyDescent="0.25">
      <c r="J725" s="18"/>
    </row>
    <row r="726" spans="10:10" ht="12.5" x14ac:dyDescent="0.25">
      <c r="J726" s="18"/>
    </row>
    <row r="727" spans="10:10" ht="12.5" x14ac:dyDescent="0.25">
      <c r="J727" s="18"/>
    </row>
    <row r="728" spans="10:10" ht="12.5" x14ac:dyDescent="0.25">
      <c r="J728" s="18"/>
    </row>
    <row r="729" spans="10:10" ht="12.5" x14ac:dyDescent="0.25">
      <c r="J729" s="18"/>
    </row>
    <row r="730" spans="10:10" ht="12.5" x14ac:dyDescent="0.25">
      <c r="J730" s="18"/>
    </row>
    <row r="731" spans="10:10" ht="12.5" x14ac:dyDescent="0.25">
      <c r="J731" s="18"/>
    </row>
    <row r="732" spans="10:10" ht="12.5" x14ac:dyDescent="0.25">
      <c r="J732" s="18"/>
    </row>
    <row r="733" spans="10:10" ht="12.5" x14ac:dyDescent="0.25">
      <c r="J733" s="18"/>
    </row>
    <row r="734" spans="10:10" ht="12.5" x14ac:dyDescent="0.25">
      <c r="J734" s="18"/>
    </row>
    <row r="735" spans="10:10" ht="12.5" x14ac:dyDescent="0.25">
      <c r="J735" s="18"/>
    </row>
    <row r="736" spans="10:10" ht="12.5" x14ac:dyDescent="0.25">
      <c r="J736" s="18"/>
    </row>
    <row r="737" spans="10:10" ht="12.5" x14ac:dyDescent="0.25">
      <c r="J737" s="18"/>
    </row>
    <row r="738" spans="10:10" ht="12.5" x14ac:dyDescent="0.25">
      <c r="J738" s="18"/>
    </row>
    <row r="739" spans="10:10" ht="12.5" x14ac:dyDescent="0.25">
      <c r="J739" s="18"/>
    </row>
    <row r="740" spans="10:10" ht="12.5" x14ac:dyDescent="0.25">
      <c r="J740" s="18"/>
    </row>
    <row r="741" spans="10:10" ht="12.5" x14ac:dyDescent="0.25">
      <c r="J741" s="18"/>
    </row>
    <row r="742" spans="10:10" ht="12.5" x14ac:dyDescent="0.25">
      <c r="J742" s="18"/>
    </row>
    <row r="743" spans="10:10" ht="12.5" x14ac:dyDescent="0.25">
      <c r="J743" s="18"/>
    </row>
    <row r="744" spans="10:10" ht="12.5" x14ac:dyDescent="0.25">
      <c r="J744" s="18"/>
    </row>
    <row r="745" spans="10:10" ht="12.5" x14ac:dyDescent="0.25">
      <c r="J745" s="18"/>
    </row>
    <row r="746" spans="10:10" ht="12.5" x14ac:dyDescent="0.25">
      <c r="J746" s="18"/>
    </row>
    <row r="747" spans="10:10" ht="12.5" x14ac:dyDescent="0.25">
      <c r="J747" s="18"/>
    </row>
    <row r="748" spans="10:10" ht="12.5" x14ac:dyDescent="0.25">
      <c r="J748" s="18"/>
    </row>
    <row r="749" spans="10:10" ht="12.5" x14ac:dyDescent="0.25">
      <c r="J749" s="18"/>
    </row>
    <row r="750" spans="10:10" ht="12.5" x14ac:dyDescent="0.25">
      <c r="J750" s="18"/>
    </row>
    <row r="751" spans="10:10" ht="12.5" x14ac:dyDescent="0.25">
      <c r="J751" s="18"/>
    </row>
    <row r="752" spans="10:10" ht="12.5" x14ac:dyDescent="0.25">
      <c r="J752" s="18"/>
    </row>
    <row r="753" spans="10:10" ht="12.5" x14ac:dyDescent="0.25">
      <c r="J753" s="18"/>
    </row>
    <row r="754" spans="10:10" ht="12.5" x14ac:dyDescent="0.25">
      <c r="J754" s="18"/>
    </row>
    <row r="755" spans="10:10" ht="12.5" x14ac:dyDescent="0.25">
      <c r="J755" s="18"/>
    </row>
    <row r="756" spans="10:10" ht="12.5" x14ac:dyDescent="0.25">
      <c r="J756" s="18"/>
    </row>
    <row r="757" spans="10:10" ht="12.5" x14ac:dyDescent="0.25">
      <c r="J757" s="18"/>
    </row>
    <row r="758" spans="10:10" ht="12.5" x14ac:dyDescent="0.25">
      <c r="J758" s="18"/>
    </row>
    <row r="759" spans="10:10" ht="12.5" x14ac:dyDescent="0.25">
      <c r="J759" s="18"/>
    </row>
    <row r="760" spans="10:10" ht="12.5" x14ac:dyDescent="0.25">
      <c r="J760" s="18"/>
    </row>
    <row r="761" spans="10:10" ht="12.5" x14ac:dyDescent="0.25">
      <c r="J761" s="18"/>
    </row>
    <row r="762" spans="10:10" ht="12.5" x14ac:dyDescent="0.25">
      <c r="J762" s="18"/>
    </row>
    <row r="763" spans="10:10" ht="12.5" x14ac:dyDescent="0.25">
      <c r="J763" s="18"/>
    </row>
    <row r="764" spans="10:10" ht="12.5" x14ac:dyDescent="0.25">
      <c r="J764" s="18"/>
    </row>
    <row r="765" spans="10:10" ht="12.5" x14ac:dyDescent="0.25">
      <c r="J765" s="18"/>
    </row>
    <row r="766" spans="10:10" ht="12.5" x14ac:dyDescent="0.25">
      <c r="J766" s="18"/>
    </row>
    <row r="767" spans="10:10" ht="12.5" x14ac:dyDescent="0.25">
      <c r="J767" s="18"/>
    </row>
    <row r="768" spans="10:10" ht="12.5" x14ac:dyDescent="0.25">
      <c r="J768" s="18"/>
    </row>
    <row r="769" spans="10:10" ht="12.5" x14ac:dyDescent="0.25">
      <c r="J769" s="18"/>
    </row>
    <row r="770" spans="10:10" ht="12.5" x14ac:dyDescent="0.25">
      <c r="J770" s="18"/>
    </row>
    <row r="771" spans="10:10" ht="12.5" x14ac:dyDescent="0.25">
      <c r="J771" s="18"/>
    </row>
    <row r="772" spans="10:10" ht="12.5" x14ac:dyDescent="0.25">
      <c r="J772" s="18"/>
    </row>
    <row r="773" spans="10:10" ht="12.5" x14ac:dyDescent="0.25">
      <c r="J773" s="18"/>
    </row>
    <row r="774" spans="10:10" ht="12.5" x14ac:dyDescent="0.25">
      <c r="J774" s="18"/>
    </row>
    <row r="775" spans="10:10" ht="12.5" x14ac:dyDescent="0.25">
      <c r="J775" s="18"/>
    </row>
    <row r="776" spans="10:10" ht="12.5" x14ac:dyDescent="0.25">
      <c r="J776" s="18"/>
    </row>
    <row r="777" spans="10:10" ht="12.5" x14ac:dyDescent="0.25">
      <c r="J777" s="18"/>
    </row>
    <row r="778" spans="10:10" ht="12.5" x14ac:dyDescent="0.25">
      <c r="J778" s="18"/>
    </row>
    <row r="779" spans="10:10" ht="12.5" x14ac:dyDescent="0.25">
      <c r="J779" s="18"/>
    </row>
    <row r="780" spans="10:10" ht="12.5" x14ac:dyDescent="0.25">
      <c r="J780" s="18"/>
    </row>
    <row r="781" spans="10:10" ht="12.5" x14ac:dyDescent="0.25">
      <c r="J781" s="18"/>
    </row>
    <row r="782" spans="10:10" ht="12.5" x14ac:dyDescent="0.25">
      <c r="J782" s="18"/>
    </row>
    <row r="783" spans="10:10" ht="12.5" x14ac:dyDescent="0.25">
      <c r="J783" s="18"/>
    </row>
    <row r="784" spans="10:10" ht="12.5" x14ac:dyDescent="0.25">
      <c r="J784" s="18"/>
    </row>
    <row r="785" spans="10:10" ht="12.5" x14ac:dyDescent="0.25">
      <c r="J785" s="18"/>
    </row>
    <row r="786" spans="10:10" ht="12.5" x14ac:dyDescent="0.25">
      <c r="J786" s="18"/>
    </row>
    <row r="787" spans="10:10" ht="12.5" x14ac:dyDescent="0.25">
      <c r="J787" s="18"/>
    </row>
    <row r="788" spans="10:10" ht="12.5" x14ac:dyDescent="0.25">
      <c r="J788" s="18"/>
    </row>
    <row r="789" spans="10:10" ht="12.5" x14ac:dyDescent="0.25">
      <c r="J789" s="18"/>
    </row>
    <row r="790" spans="10:10" ht="12.5" x14ac:dyDescent="0.25">
      <c r="J790" s="18"/>
    </row>
    <row r="791" spans="10:10" ht="12.5" x14ac:dyDescent="0.25">
      <c r="J791" s="18"/>
    </row>
    <row r="792" spans="10:10" ht="12.5" x14ac:dyDescent="0.25">
      <c r="J792" s="18"/>
    </row>
    <row r="793" spans="10:10" ht="12.5" x14ac:dyDescent="0.25">
      <c r="J793" s="18"/>
    </row>
    <row r="794" spans="10:10" ht="12.5" x14ac:dyDescent="0.25">
      <c r="J794" s="18"/>
    </row>
    <row r="795" spans="10:10" ht="12.5" x14ac:dyDescent="0.25">
      <c r="J795" s="18"/>
    </row>
    <row r="796" spans="10:10" ht="12.5" x14ac:dyDescent="0.25">
      <c r="J796" s="18"/>
    </row>
    <row r="797" spans="10:10" ht="12.5" x14ac:dyDescent="0.25">
      <c r="J797" s="18"/>
    </row>
    <row r="798" spans="10:10" ht="12.5" x14ac:dyDescent="0.25">
      <c r="J798" s="18"/>
    </row>
    <row r="799" spans="10:10" ht="12.5" x14ac:dyDescent="0.25">
      <c r="J799" s="18"/>
    </row>
    <row r="800" spans="10:10" ht="12.5" x14ac:dyDescent="0.25">
      <c r="J800" s="18"/>
    </row>
    <row r="801" spans="10:10" ht="12.5" x14ac:dyDescent="0.25">
      <c r="J801" s="18"/>
    </row>
    <row r="802" spans="10:10" ht="12.5" x14ac:dyDescent="0.25">
      <c r="J802" s="18"/>
    </row>
    <row r="803" spans="10:10" ht="12.5" x14ac:dyDescent="0.25">
      <c r="J803" s="18"/>
    </row>
    <row r="804" spans="10:10" ht="12.5" x14ac:dyDescent="0.25">
      <c r="J804" s="18"/>
    </row>
    <row r="805" spans="10:10" ht="12.5" x14ac:dyDescent="0.25">
      <c r="J805" s="18"/>
    </row>
    <row r="806" spans="10:10" ht="12.5" x14ac:dyDescent="0.25">
      <c r="J806" s="18"/>
    </row>
    <row r="807" spans="10:10" ht="12.5" x14ac:dyDescent="0.25">
      <c r="J807" s="18"/>
    </row>
    <row r="808" spans="10:10" ht="12.5" x14ac:dyDescent="0.25">
      <c r="J808" s="18"/>
    </row>
    <row r="809" spans="10:10" ht="12.5" x14ac:dyDescent="0.25">
      <c r="J809" s="18"/>
    </row>
    <row r="810" spans="10:10" ht="12.5" x14ac:dyDescent="0.25">
      <c r="J810" s="18"/>
    </row>
    <row r="811" spans="10:10" ht="12.5" x14ac:dyDescent="0.25">
      <c r="J811" s="18"/>
    </row>
    <row r="812" spans="10:10" ht="12.5" x14ac:dyDescent="0.25">
      <c r="J812" s="18"/>
    </row>
    <row r="813" spans="10:10" ht="12.5" x14ac:dyDescent="0.25">
      <c r="J813" s="18"/>
    </row>
    <row r="814" spans="10:10" ht="12.5" x14ac:dyDescent="0.25">
      <c r="J814" s="18"/>
    </row>
    <row r="815" spans="10:10" ht="12.5" x14ac:dyDescent="0.25">
      <c r="J815" s="18"/>
    </row>
    <row r="816" spans="10:10" ht="12.5" x14ac:dyDescent="0.25">
      <c r="J816" s="18"/>
    </row>
    <row r="817" spans="10:10" ht="12.5" x14ac:dyDescent="0.25">
      <c r="J817" s="18"/>
    </row>
    <row r="818" spans="10:10" ht="12.5" x14ac:dyDescent="0.25">
      <c r="J818" s="18"/>
    </row>
    <row r="819" spans="10:10" ht="12.5" x14ac:dyDescent="0.25">
      <c r="J819" s="18"/>
    </row>
    <row r="820" spans="10:10" ht="12.5" x14ac:dyDescent="0.25">
      <c r="J820" s="18"/>
    </row>
    <row r="821" spans="10:10" ht="12.5" x14ac:dyDescent="0.25">
      <c r="J821" s="18"/>
    </row>
    <row r="822" spans="10:10" ht="12.5" x14ac:dyDescent="0.25">
      <c r="J822" s="18"/>
    </row>
    <row r="823" spans="10:10" ht="12.5" x14ac:dyDescent="0.25">
      <c r="J823" s="18"/>
    </row>
    <row r="824" spans="10:10" ht="12.5" x14ac:dyDescent="0.25">
      <c r="J824" s="18"/>
    </row>
    <row r="825" spans="10:10" ht="12.5" x14ac:dyDescent="0.25">
      <c r="J825" s="18"/>
    </row>
    <row r="826" spans="10:10" ht="12.5" x14ac:dyDescent="0.25">
      <c r="J826" s="18"/>
    </row>
    <row r="827" spans="10:10" ht="12.5" x14ac:dyDescent="0.25">
      <c r="J827" s="18"/>
    </row>
    <row r="828" spans="10:10" ht="12.5" x14ac:dyDescent="0.25">
      <c r="J828" s="18"/>
    </row>
    <row r="829" spans="10:10" ht="12.5" x14ac:dyDescent="0.25">
      <c r="J829" s="18"/>
    </row>
    <row r="830" spans="10:10" ht="12.5" x14ac:dyDescent="0.25">
      <c r="J830" s="18"/>
    </row>
    <row r="831" spans="10:10" ht="12.5" x14ac:dyDescent="0.25">
      <c r="J831" s="18"/>
    </row>
    <row r="832" spans="10:10" ht="12.5" x14ac:dyDescent="0.25">
      <c r="J832" s="18"/>
    </row>
    <row r="833" spans="10:10" ht="12.5" x14ac:dyDescent="0.25">
      <c r="J833" s="18"/>
    </row>
    <row r="834" spans="10:10" ht="12.5" x14ac:dyDescent="0.25">
      <c r="J834" s="18"/>
    </row>
    <row r="835" spans="10:10" ht="12.5" x14ac:dyDescent="0.25">
      <c r="J835" s="18"/>
    </row>
    <row r="836" spans="10:10" ht="12.5" x14ac:dyDescent="0.25">
      <c r="J836" s="18"/>
    </row>
    <row r="837" spans="10:10" ht="12.5" x14ac:dyDescent="0.25">
      <c r="J837" s="18"/>
    </row>
    <row r="838" spans="10:10" ht="12.5" x14ac:dyDescent="0.25">
      <c r="J838" s="18"/>
    </row>
    <row r="839" spans="10:10" ht="12.5" x14ac:dyDescent="0.25">
      <c r="J839" s="18"/>
    </row>
    <row r="840" spans="10:10" ht="12.5" x14ac:dyDescent="0.25">
      <c r="J840" s="18"/>
    </row>
    <row r="841" spans="10:10" ht="12.5" x14ac:dyDescent="0.25">
      <c r="J841" s="18"/>
    </row>
    <row r="842" spans="10:10" ht="12.5" x14ac:dyDescent="0.25">
      <c r="J842" s="18"/>
    </row>
    <row r="843" spans="10:10" ht="12.5" x14ac:dyDescent="0.25">
      <c r="J843" s="18"/>
    </row>
    <row r="844" spans="10:10" ht="12.5" x14ac:dyDescent="0.25">
      <c r="J844" s="18"/>
    </row>
    <row r="845" spans="10:10" ht="12.5" x14ac:dyDescent="0.25">
      <c r="J845" s="18"/>
    </row>
    <row r="846" spans="10:10" ht="12.5" x14ac:dyDescent="0.25">
      <c r="J846" s="18"/>
    </row>
    <row r="847" spans="10:10" ht="12.5" x14ac:dyDescent="0.25">
      <c r="J847" s="18"/>
    </row>
    <row r="848" spans="10:10" ht="12.5" x14ac:dyDescent="0.25">
      <c r="J848" s="18"/>
    </row>
    <row r="849" spans="10:10" ht="12.5" x14ac:dyDescent="0.25">
      <c r="J849" s="18"/>
    </row>
    <row r="850" spans="10:10" ht="12.5" x14ac:dyDescent="0.25">
      <c r="J850" s="18"/>
    </row>
    <row r="851" spans="10:10" ht="12.5" x14ac:dyDescent="0.25">
      <c r="J851" s="18"/>
    </row>
    <row r="852" spans="10:10" ht="12.5" x14ac:dyDescent="0.25">
      <c r="J852" s="18"/>
    </row>
    <row r="853" spans="10:10" ht="12.5" x14ac:dyDescent="0.25">
      <c r="J853" s="18"/>
    </row>
    <row r="854" spans="10:10" ht="12.5" x14ac:dyDescent="0.25">
      <c r="J854" s="18"/>
    </row>
    <row r="855" spans="10:10" ht="12.5" x14ac:dyDescent="0.25">
      <c r="J855" s="18"/>
    </row>
    <row r="856" spans="10:10" ht="12.5" x14ac:dyDescent="0.25">
      <c r="J856" s="18"/>
    </row>
    <row r="857" spans="10:10" ht="12.5" x14ac:dyDescent="0.25">
      <c r="J857" s="18"/>
    </row>
    <row r="858" spans="10:10" ht="12.5" x14ac:dyDescent="0.25">
      <c r="J858" s="18"/>
    </row>
    <row r="859" spans="10:10" ht="12.5" x14ac:dyDescent="0.25">
      <c r="J859" s="18"/>
    </row>
    <row r="860" spans="10:10" ht="12.5" x14ac:dyDescent="0.25">
      <c r="J860" s="18"/>
    </row>
    <row r="861" spans="10:10" ht="12.5" x14ac:dyDescent="0.25">
      <c r="J861" s="18"/>
    </row>
    <row r="862" spans="10:10" ht="12.5" x14ac:dyDescent="0.25">
      <c r="J862" s="18"/>
    </row>
    <row r="863" spans="10:10" ht="12.5" x14ac:dyDescent="0.25">
      <c r="J863" s="18"/>
    </row>
    <row r="864" spans="10:10" ht="12.5" x14ac:dyDescent="0.25">
      <c r="J864" s="18"/>
    </row>
    <row r="865" spans="10:10" ht="12.5" x14ac:dyDescent="0.25">
      <c r="J865" s="18"/>
    </row>
    <row r="866" spans="10:10" ht="12.5" x14ac:dyDescent="0.25">
      <c r="J866" s="18"/>
    </row>
    <row r="867" spans="10:10" ht="12.5" x14ac:dyDescent="0.25">
      <c r="J867" s="18"/>
    </row>
    <row r="868" spans="10:10" ht="12.5" x14ac:dyDescent="0.25">
      <c r="J868" s="18"/>
    </row>
    <row r="869" spans="10:10" ht="12.5" x14ac:dyDescent="0.25">
      <c r="J869" s="18"/>
    </row>
    <row r="870" spans="10:10" ht="12.5" x14ac:dyDescent="0.25">
      <c r="J870" s="18"/>
    </row>
    <row r="871" spans="10:10" ht="12.5" x14ac:dyDescent="0.25">
      <c r="J871" s="18"/>
    </row>
    <row r="872" spans="10:10" ht="12.5" x14ac:dyDescent="0.25">
      <c r="J872" s="18"/>
    </row>
    <row r="873" spans="10:10" ht="12.5" x14ac:dyDescent="0.25">
      <c r="J873" s="18"/>
    </row>
    <row r="874" spans="10:10" ht="12.5" x14ac:dyDescent="0.25">
      <c r="J874" s="18"/>
    </row>
    <row r="875" spans="10:10" ht="12.5" x14ac:dyDescent="0.25">
      <c r="J875" s="18"/>
    </row>
    <row r="876" spans="10:10" ht="12.5" x14ac:dyDescent="0.25">
      <c r="J876" s="18"/>
    </row>
    <row r="877" spans="10:10" ht="12.5" x14ac:dyDescent="0.25">
      <c r="J877" s="18"/>
    </row>
    <row r="878" spans="10:10" ht="12.5" x14ac:dyDescent="0.25">
      <c r="J878" s="18"/>
    </row>
    <row r="879" spans="10:10" ht="12.5" x14ac:dyDescent="0.25">
      <c r="J879" s="18"/>
    </row>
    <row r="880" spans="10:10" ht="12.5" x14ac:dyDescent="0.25">
      <c r="J880" s="18"/>
    </row>
    <row r="881" spans="10:10" ht="12.5" x14ac:dyDescent="0.25">
      <c r="J881" s="18"/>
    </row>
    <row r="882" spans="10:10" ht="12.5" x14ac:dyDescent="0.25">
      <c r="J882" s="18"/>
    </row>
    <row r="883" spans="10:10" ht="12.5" x14ac:dyDescent="0.25">
      <c r="J883" s="18"/>
    </row>
    <row r="884" spans="10:10" ht="12.5" x14ac:dyDescent="0.25">
      <c r="J884" s="18"/>
    </row>
    <row r="885" spans="10:10" ht="12.5" x14ac:dyDescent="0.25">
      <c r="J885" s="18"/>
    </row>
    <row r="886" spans="10:10" ht="12.5" x14ac:dyDescent="0.25">
      <c r="J886" s="18"/>
    </row>
    <row r="887" spans="10:10" ht="12.5" x14ac:dyDescent="0.25">
      <c r="J887" s="18"/>
    </row>
    <row r="888" spans="10:10" ht="12.5" x14ac:dyDescent="0.25">
      <c r="J888" s="18"/>
    </row>
    <row r="889" spans="10:10" ht="12.5" x14ac:dyDescent="0.25">
      <c r="J889" s="18"/>
    </row>
    <row r="890" spans="10:10" ht="12.5" x14ac:dyDescent="0.25">
      <c r="J890" s="18"/>
    </row>
    <row r="891" spans="10:10" ht="12.5" x14ac:dyDescent="0.25">
      <c r="J891" s="18"/>
    </row>
    <row r="892" spans="10:10" ht="12.5" x14ac:dyDescent="0.25">
      <c r="J892" s="18"/>
    </row>
    <row r="893" spans="10:10" ht="12.5" x14ac:dyDescent="0.25">
      <c r="J893" s="18"/>
    </row>
    <row r="894" spans="10:10" ht="12.5" x14ac:dyDescent="0.25">
      <c r="J894" s="18"/>
    </row>
    <row r="895" spans="10:10" ht="12.5" x14ac:dyDescent="0.25">
      <c r="J895" s="18"/>
    </row>
    <row r="896" spans="10:10" ht="12.5" x14ac:dyDescent="0.25">
      <c r="J896" s="18"/>
    </row>
    <row r="897" spans="10:10" ht="12.5" x14ac:dyDescent="0.25">
      <c r="J897" s="18"/>
    </row>
    <row r="898" spans="10:10" ht="12.5" x14ac:dyDescent="0.25">
      <c r="J898" s="18"/>
    </row>
    <row r="899" spans="10:10" ht="12.5" x14ac:dyDescent="0.25">
      <c r="J899" s="18"/>
    </row>
    <row r="900" spans="10:10" ht="12.5" x14ac:dyDescent="0.25">
      <c r="J900" s="18"/>
    </row>
    <row r="901" spans="10:10" ht="12.5" x14ac:dyDescent="0.25">
      <c r="J901" s="18"/>
    </row>
    <row r="902" spans="10:10" ht="12.5" x14ac:dyDescent="0.25">
      <c r="J902" s="18"/>
    </row>
    <row r="903" spans="10:10" ht="12.5" x14ac:dyDescent="0.25">
      <c r="J903" s="18"/>
    </row>
    <row r="904" spans="10:10" ht="12.5" x14ac:dyDescent="0.25">
      <c r="J904" s="18"/>
    </row>
    <row r="905" spans="10:10" ht="12.5" x14ac:dyDescent="0.25">
      <c r="J905" s="18"/>
    </row>
    <row r="906" spans="10:10" ht="12.5" x14ac:dyDescent="0.25">
      <c r="J906" s="18"/>
    </row>
    <row r="907" spans="10:10" ht="12.5" x14ac:dyDescent="0.25">
      <c r="J907" s="18"/>
    </row>
    <row r="908" spans="10:10" ht="12.5" x14ac:dyDescent="0.25">
      <c r="J908" s="18"/>
    </row>
    <row r="909" spans="10:10" ht="12.5" x14ac:dyDescent="0.25">
      <c r="J909" s="18"/>
    </row>
    <row r="910" spans="10:10" ht="12.5" x14ac:dyDescent="0.25">
      <c r="J910" s="18"/>
    </row>
    <row r="911" spans="10:10" ht="12.5" x14ac:dyDescent="0.25">
      <c r="J911" s="18"/>
    </row>
    <row r="912" spans="10:10" ht="12.5" x14ac:dyDescent="0.25">
      <c r="J912" s="18"/>
    </row>
    <row r="913" spans="10:10" ht="12.5" x14ac:dyDescent="0.25">
      <c r="J913" s="18"/>
    </row>
    <row r="914" spans="10:10" ht="12.5" x14ac:dyDescent="0.25">
      <c r="J914" s="18"/>
    </row>
    <row r="915" spans="10:10" ht="12.5" x14ac:dyDescent="0.25">
      <c r="J915" s="18"/>
    </row>
    <row r="916" spans="10:10" ht="12.5" x14ac:dyDescent="0.25">
      <c r="J916" s="18"/>
    </row>
    <row r="917" spans="10:10" ht="12.5" x14ac:dyDescent="0.25">
      <c r="J917" s="18"/>
    </row>
    <row r="918" spans="10:10" ht="12.5" x14ac:dyDescent="0.25">
      <c r="J918" s="18"/>
    </row>
    <row r="919" spans="10:10" ht="12.5" x14ac:dyDescent="0.25">
      <c r="J919" s="18"/>
    </row>
    <row r="920" spans="10:10" ht="12.5" x14ac:dyDescent="0.25">
      <c r="J920" s="18"/>
    </row>
    <row r="921" spans="10:10" ht="12.5" x14ac:dyDescent="0.25">
      <c r="J921" s="18"/>
    </row>
    <row r="922" spans="10:10" ht="12.5" x14ac:dyDescent="0.25">
      <c r="J922" s="18"/>
    </row>
    <row r="923" spans="10:10" ht="12.5" x14ac:dyDescent="0.25">
      <c r="J923" s="18"/>
    </row>
    <row r="924" spans="10:10" ht="12.5" x14ac:dyDescent="0.25">
      <c r="J924" s="18"/>
    </row>
    <row r="925" spans="10:10" ht="12.5" x14ac:dyDescent="0.25">
      <c r="J925" s="18"/>
    </row>
    <row r="926" spans="10:10" ht="12.5" x14ac:dyDescent="0.25">
      <c r="J926" s="18"/>
    </row>
    <row r="927" spans="10:10" ht="12.5" x14ac:dyDescent="0.25">
      <c r="J927" s="18"/>
    </row>
    <row r="928" spans="10:10" ht="12.5" x14ac:dyDescent="0.25">
      <c r="J928" s="18"/>
    </row>
    <row r="929" spans="10:10" ht="12.5" x14ac:dyDescent="0.25">
      <c r="J929" s="18"/>
    </row>
    <row r="930" spans="10:10" ht="12.5" x14ac:dyDescent="0.25">
      <c r="J930" s="18"/>
    </row>
    <row r="931" spans="10:10" ht="12.5" x14ac:dyDescent="0.25">
      <c r="J931" s="18"/>
    </row>
    <row r="932" spans="10:10" ht="12.5" x14ac:dyDescent="0.25">
      <c r="J932" s="18"/>
    </row>
    <row r="933" spans="10:10" ht="12.5" x14ac:dyDescent="0.25">
      <c r="J933" s="18"/>
    </row>
    <row r="934" spans="10:10" ht="12.5" x14ac:dyDescent="0.25">
      <c r="J934" s="18"/>
    </row>
    <row r="935" spans="10:10" ht="12.5" x14ac:dyDescent="0.25">
      <c r="J935" s="18"/>
    </row>
    <row r="936" spans="10:10" ht="12.5" x14ac:dyDescent="0.25">
      <c r="J936" s="18"/>
    </row>
    <row r="937" spans="10:10" ht="12.5" x14ac:dyDescent="0.25">
      <c r="J937" s="18"/>
    </row>
    <row r="938" spans="10:10" ht="12.5" x14ac:dyDescent="0.25">
      <c r="J938" s="18"/>
    </row>
    <row r="939" spans="10:10" ht="12.5" x14ac:dyDescent="0.25">
      <c r="J939" s="18"/>
    </row>
    <row r="940" spans="10:10" ht="12.5" x14ac:dyDescent="0.25">
      <c r="J940" s="18"/>
    </row>
    <row r="941" spans="10:10" ht="12.5" x14ac:dyDescent="0.25">
      <c r="J941" s="18"/>
    </row>
    <row r="942" spans="10:10" ht="12.5" x14ac:dyDescent="0.25">
      <c r="J942" s="18"/>
    </row>
    <row r="943" spans="10:10" ht="12.5" x14ac:dyDescent="0.25">
      <c r="J943" s="18"/>
    </row>
    <row r="944" spans="10:10" ht="12.5" x14ac:dyDescent="0.25">
      <c r="J944" s="18"/>
    </row>
    <row r="945" spans="10:10" ht="12.5" x14ac:dyDescent="0.25">
      <c r="J945" s="18"/>
    </row>
    <row r="946" spans="10:10" ht="12.5" x14ac:dyDescent="0.25">
      <c r="J946" s="18"/>
    </row>
    <row r="947" spans="10:10" ht="12.5" x14ac:dyDescent="0.25">
      <c r="J947" s="18"/>
    </row>
    <row r="948" spans="10:10" ht="12.5" x14ac:dyDescent="0.25">
      <c r="J948" s="18"/>
    </row>
    <row r="949" spans="10:10" ht="12.5" x14ac:dyDescent="0.25">
      <c r="J949" s="18"/>
    </row>
    <row r="950" spans="10:10" ht="12.5" x14ac:dyDescent="0.25">
      <c r="J950" s="18"/>
    </row>
    <row r="951" spans="10:10" ht="12.5" x14ac:dyDescent="0.25">
      <c r="J951" s="18"/>
    </row>
    <row r="952" spans="10:10" ht="12.5" x14ac:dyDescent="0.25">
      <c r="J952" s="18"/>
    </row>
    <row r="953" spans="10:10" ht="12.5" x14ac:dyDescent="0.25">
      <c r="J953" s="18"/>
    </row>
    <row r="954" spans="10:10" ht="12.5" x14ac:dyDescent="0.25">
      <c r="J954" s="18"/>
    </row>
    <row r="955" spans="10:10" ht="12.5" x14ac:dyDescent="0.25">
      <c r="J955" s="18"/>
    </row>
    <row r="956" spans="10:10" ht="12.5" x14ac:dyDescent="0.25">
      <c r="J956" s="18"/>
    </row>
    <row r="957" spans="10:10" ht="12.5" x14ac:dyDescent="0.25">
      <c r="J957" s="18"/>
    </row>
    <row r="958" spans="10:10" ht="12.5" x14ac:dyDescent="0.25">
      <c r="J958" s="18"/>
    </row>
    <row r="959" spans="10:10" ht="12.5" x14ac:dyDescent="0.25">
      <c r="J959" s="18"/>
    </row>
    <row r="960" spans="10:10" ht="12.5" x14ac:dyDescent="0.25">
      <c r="J960" s="18"/>
    </row>
    <row r="961" spans="10:10" ht="12.5" x14ac:dyDescent="0.25">
      <c r="J961" s="18"/>
    </row>
    <row r="962" spans="10:10" ht="12.5" x14ac:dyDescent="0.25">
      <c r="J962" s="18"/>
    </row>
    <row r="963" spans="10:10" ht="12.5" x14ac:dyDescent="0.25">
      <c r="J963" s="18"/>
    </row>
    <row r="964" spans="10:10" ht="12.5" x14ac:dyDescent="0.25">
      <c r="J964" s="18"/>
    </row>
    <row r="965" spans="10:10" ht="12.5" x14ac:dyDescent="0.25">
      <c r="J965" s="18"/>
    </row>
    <row r="966" spans="10:10" ht="12.5" x14ac:dyDescent="0.25">
      <c r="J966" s="18"/>
    </row>
    <row r="967" spans="10:10" ht="12.5" x14ac:dyDescent="0.25">
      <c r="J967" s="18"/>
    </row>
    <row r="968" spans="10:10" ht="12.5" x14ac:dyDescent="0.25">
      <c r="J968" s="18"/>
    </row>
    <row r="969" spans="10:10" ht="12.5" x14ac:dyDescent="0.25">
      <c r="J969" s="18"/>
    </row>
    <row r="970" spans="10:10" ht="12.5" x14ac:dyDescent="0.25">
      <c r="J970" s="18"/>
    </row>
    <row r="971" spans="10:10" ht="12.5" x14ac:dyDescent="0.25">
      <c r="J971" s="18"/>
    </row>
    <row r="972" spans="10:10" ht="12.5" x14ac:dyDescent="0.25">
      <c r="J972" s="18"/>
    </row>
    <row r="973" spans="10:10" ht="12.5" x14ac:dyDescent="0.25">
      <c r="J973" s="18"/>
    </row>
    <row r="974" spans="10:10" ht="12.5" x14ac:dyDescent="0.25">
      <c r="J974" s="18"/>
    </row>
    <row r="975" spans="10:10" ht="12.5" x14ac:dyDescent="0.25">
      <c r="J975" s="18"/>
    </row>
    <row r="976" spans="10:10" ht="12.5" x14ac:dyDescent="0.25">
      <c r="J976" s="18"/>
    </row>
    <row r="977" spans="10:10" ht="12.5" x14ac:dyDescent="0.25">
      <c r="J977" s="18"/>
    </row>
    <row r="978" spans="10:10" ht="12.5" x14ac:dyDescent="0.25">
      <c r="J978" s="18"/>
    </row>
    <row r="979" spans="10:10" ht="12.5" x14ac:dyDescent="0.25">
      <c r="J979" s="18"/>
    </row>
    <row r="980" spans="10:10" ht="12.5" x14ac:dyDescent="0.25">
      <c r="J980" s="18"/>
    </row>
    <row r="981" spans="10:10" ht="12.5" x14ac:dyDescent="0.25">
      <c r="J981" s="18"/>
    </row>
    <row r="982" spans="10:10" ht="12.5" x14ac:dyDescent="0.25">
      <c r="J982" s="18"/>
    </row>
    <row r="983" spans="10:10" ht="12.5" x14ac:dyDescent="0.25">
      <c r="J983" s="18"/>
    </row>
    <row r="984" spans="10:10" ht="12.5" x14ac:dyDescent="0.25">
      <c r="J984" s="18"/>
    </row>
    <row r="985" spans="10:10" ht="12.5" x14ac:dyDescent="0.25">
      <c r="J985" s="18"/>
    </row>
    <row r="986" spans="10:10" ht="12.5" x14ac:dyDescent="0.25">
      <c r="J986" s="18"/>
    </row>
    <row r="987" spans="10:10" ht="12.5" x14ac:dyDescent="0.25">
      <c r="J987" s="18"/>
    </row>
    <row r="988" spans="10:10" ht="12.5" x14ac:dyDescent="0.25">
      <c r="J988" s="18"/>
    </row>
    <row r="989" spans="10:10" ht="12.5" x14ac:dyDescent="0.25">
      <c r="J989" s="18"/>
    </row>
    <row r="990" spans="10:10" ht="12.5" x14ac:dyDescent="0.25">
      <c r="J990" s="18"/>
    </row>
    <row r="991" spans="10:10" ht="12.5" x14ac:dyDescent="0.25">
      <c r="J991" s="18"/>
    </row>
    <row r="992" spans="10:10" ht="12.5" x14ac:dyDescent="0.25">
      <c r="J992" s="18"/>
    </row>
    <row r="993" spans="10:10" ht="12.5" x14ac:dyDescent="0.25">
      <c r="J993" s="18"/>
    </row>
    <row r="994" spans="10:10" ht="12.5" x14ac:dyDescent="0.25">
      <c r="J994" s="18"/>
    </row>
    <row r="995" spans="10:10" ht="12.5" x14ac:dyDescent="0.25">
      <c r="J995" s="18"/>
    </row>
    <row r="996" spans="10:10" ht="12.5" x14ac:dyDescent="0.25">
      <c r="J996" s="18"/>
    </row>
    <row r="997" spans="10:10" ht="12.5" x14ac:dyDescent="0.25">
      <c r="J997" s="18"/>
    </row>
    <row r="998" spans="10:10" ht="12.5" x14ac:dyDescent="0.25">
      <c r="J998" s="18"/>
    </row>
    <row r="999" spans="10:10" ht="12.5" x14ac:dyDescent="0.25">
      <c r="J999" s="18"/>
    </row>
    <row r="1000" spans="10:10" ht="12.5" x14ac:dyDescent="0.25">
      <c r="J1000" s="18"/>
    </row>
    <row r="1001" spans="10:10" ht="12.5" x14ac:dyDescent="0.25">
      <c r="J1001" s="18"/>
    </row>
    <row r="1002" spans="10:10" ht="12.5" x14ac:dyDescent="0.25">
      <c r="J1002" s="18"/>
    </row>
    <row r="1003" spans="10:10" ht="12.5" x14ac:dyDescent="0.25">
      <c r="J1003" s="18"/>
    </row>
    <row r="1004" spans="10:10" ht="12.5" x14ac:dyDescent="0.25">
      <c r="J1004" s="18"/>
    </row>
    <row r="1005" spans="10:10" ht="12.5" x14ac:dyDescent="0.25">
      <c r="J1005" s="18"/>
    </row>
    <row r="1006" spans="10:10" ht="12.5" x14ac:dyDescent="0.25">
      <c r="J1006" s="18"/>
    </row>
    <row r="1007" spans="10:10" ht="12.5" x14ac:dyDescent="0.25">
      <c r="J1007" s="18"/>
    </row>
    <row r="1008" spans="10:10" ht="12.5" x14ac:dyDescent="0.25">
      <c r="J1008" s="18"/>
    </row>
    <row r="1009" spans="6:10" ht="12.5" x14ac:dyDescent="0.25">
      <c r="F1009" s="12"/>
      <c r="J1009" s="18"/>
    </row>
  </sheetData>
  <autoFilter ref="A19:J194" xr:uid="{00000000-0009-0000-0000-00000B000000}">
    <sortState xmlns:xlrd2="http://schemas.microsoft.com/office/spreadsheetml/2017/richdata2" ref="A19:J194">
      <sortCondition ref="B19:B194"/>
    </sortState>
  </autoFilter>
  <mergeCells count="7">
    <mergeCell ref="K19:L21"/>
    <mergeCell ref="X19:Y21"/>
    <mergeCell ref="S1:T1"/>
    <mergeCell ref="S2:T2"/>
    <mergeCell ref="T3:T4"/>
    <mergeCell ref="A18:J18"/>
    <mergeCell ref="N18:O18"/>
  </mergeCells>
  <dataValidations count="3">
    <dataValidation type="list" allowBlank="1" showErrorMessage="1" sqref="E20:E194" xr:uid="{00000000-0002-0000-0B00-000000000000}">
      <formula1>"One Time,Reccuring"</formula1>
    </dataValidation>
    <dataValidation type="list" allowBlank="1" showErrorMessage="1" sqref="P18 C20:C34 C37:C194" xr:uid="{00000000-0002-0000-0B00-000001000000}">
      <formula1>"Stock Dagangan,Stock Bahan,Operational,Packing,Tenant,Gaji Karyawan,Team,Iklan,Aset Toko"</formula1>
    </dataValidation>
    <dataValidation type="list" allowBlank="1" showErrorMessage="1" sqref="C35:C36" xr:uid="{00000000-0002-0000-0B00-000002000000}">
      <formula1>"Stock Dagangan,Stock Bahan,Operational,Packing,Tenant,Gaji Karyawan,Team,Iklan,Aset toko"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2025 </vt:lpstr>
      <vt:lpstr>FEB 2025</vt:lpstr>
      <vt:lpstr>MAR 2025</vt:lpstr>
      <vt:lpstr>APRIL 25</vt:lpstr>
      <vt:lpstr>MEI 25</vt:lpstr>
      <vt:lpstr>JUNE  25</vt:lpstr>
      <vt:lpstr>JULY  25</vt:lpstr>
      <vt:lpstr>AUGUST  25</vt:lpstr>
      <vt:lpstr>SEPTEMBER  25</vt:lpstr>
      <vt:lpstr>Oktober 25</vt:lpstr>
      <vt:lpstr>November 25</vt:lpstr>
      <vt:lpstr>Desember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salsabila ryan putri</cp:lastModifiedBy>
  <dcterms:modified xsi:type="dcterms:W3CDTF">2026-10-01T16:04:51Z</dcterms:modified>
</cp:coreProperties>
</file>